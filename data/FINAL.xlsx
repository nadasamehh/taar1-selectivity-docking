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Master Matrix" sheetId="2" state="visible" r:id="rId4"/>
    <sheet name="Selectivity Char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<sst xmlns="http://schemas.openxmlformats.org/spreadsheetml/2006/main" count="82" uniqueCount="68">
  <si>
    <t xml:space="preserve">TAAR1 Selectivity Screen — Summary of Findings</t>
  </si>
  <si>
    <t xml:space="preserve">16 psychiatric drugs docked against 5 receptor structures (TAAR1 bound, TAAR1 apo, 5-HT1A, 5-HT2A, D2) using AutoDock Vina 1.2.7</t>
  </si>
  <si>
    <t xml:space="preserve">Headline Result</t>
  </si>
  <si>
    <t xml:space="preserve">After correcting for ligand size (Ligand Efficiency), no compound in this 16-drug panel shows clear TAAR1 selectivity. The most TAAR1-favoring profiles in the corrected dataset belong to Clozapine and Asenapine — both repurposed antipsychotics, not the TAAR1-designed reference compounds (Ulotaront, Ralmitaront). This is the central, honest finding of the study.</t>
  </si>
  <si>
    <t xml:space="preserve">1. Correction: the apparent TAAR1 selectivity pattern is largely a ligand-size artifact</t>
  </si>
  <si>
    <t xml:space="preserve">Raw docking scores in this dataset correlate strongly with ligand size (heavy atom count vs. raw off-target average score, r = -0.907) — larger, bulkier drugs simply score better everywhere, regardless of true fit. This means the initial pattern ("antipsychotics bind broadly, TAAR1-designed drugs are selective") was substantially confounded by molecular size, not a clean biological signal. Correcting for this using Ligand Efficiency (LE = score ÷ heavy atom count, computed from each compound's actual docked heavy-atom count) narrows the apparent selectivity to a much smaller band: LE-based selectivity gaps fall between -0.007 and +0.049, with no compound showing a gap large enough to constitute clear TAAR1 selectivity. Critically, the ranking of compounds is largely preserved under this correction (Spearman rho = 0.81 comparing raw and LE-corrected gap rankings) — it is the magnitude of the apparent selectivity that weakens under correction, not the overall pattern of which compounds look relatively more or less TAAR1-favoring. Clozapine and Asenapine are the most TAAR1-favoring compounds both before and after the size correction (raw gaps of -0.170 and -0.068; LE gaps of -0.007 and -0.003) — this ranking does not change under correction, though the gaps themselves are small in both cases. The honest conclusion is that this dataset, on its own, does not show strong evidence of true TAAR1 selectivity for any compound once ligand size is properly accounted for — a materially different conclusion from the uncorrected result, and a more defensible one.</t>
  </si>
  <si>
    <t xml:space="preserve">2. A top score in the homology model was a scoring artifact, not genuine binding (the Haloperidol issue)</t>
  </si>
  <si>
    <t xml:space="preserve">In the SWISS-MODEL-derived TAAR1 homology model (used for early exploratory docking, not one of the five receptors in the final matrix above), Haloperidol scored strongest of all 16 compounds (-6.940 kcal/mol) — yet showed no meaningful contact (12-18 Å away) with the Asp103/phenylalanine-cluster residues known to define the real TAAR1 pocket, indicating the top score was a scoring-function artifact rather than genuine target engagement. Ulotaront showed the same disconnect in this model (7.9-14 Å from the same residues). A control redocking using side-chain-derived box coordinates instead of backbone-derived ones produced statistically identical results, ruling out box placement as the cause and pointing to a genuine limitation in the homology model's predicted pocket geometry. This is why every score elsewhere in this project was checked against real residue contacts rather than trusted at face value, and why the homology model itself was excluded from the final five-receptor selectivity matrix.</t>
  </si>
  <si>
    <t xml:space="preserve">3. AutoDock Vina reproducibility issue found and fixed</t>
  </si>
  <si>
    <t xml:space="preserve">Identical docking setups (same receptor, same ligand, same coordinates) produced different top-ranked poses across separate runs. This was traced to Vina's default unseeded stochastic search combined with low exhaustiveness (8). Fixing a random seed (42) and raising exhaustiveness to 32 produced internally consistent, reproducible results across all subsequent runs. Note: reproducibility and correctness are not the same guarantee — see Section 6 for a case where this fixed seed, despite being fully reproducible, converged on a non-physiological pose.</t>
  </si>
  <si>
    <t xml:space="preserve">4. Confirmed steric mechanism behind TAAR1 conformational selectivity (bound vs. apo state)</t>
  </si>
  <si>
    <t xml:space="preserve">Several bulky antipsychotics (Clozapine, Olanzapine, Quetiapine, Asenapine) that bind strongly to the drug-bound TAAR1 structure (8W88) score weakly or positively (repulsive) against the empty, apo TAAR1 structure (8ZSJ). A full seven-step diagnostic on Clozapine (the representative case) ruled out file-handling, box-placement, and receptor-protonation errors as explanations: the ligand was confirmed in the correct orthosteric pocket region (contacting Phe186/Phe267), His175 was confirmed in its neutral tautomer (ruling out an electrostatic clash), and the ligand's amine sat 8.96 Å from Asp103 — far outside salt-bridge range, showing it was seated at the shallow entrance of the pocket rather than the deep site. A full contact scan then found genuine severe steric overlap, most notably a 1.85 Å contact with the Val184 backbone carbonyl alongside 20+ additional sub-3.2 Å contacts. This confirms the positive score reflects real steric incompatibility between this ligand class and the more closed apo-state pocket, not a modeling artifact. Quetiapine and Olanzapine were not individually put through this full diagnostic; the same mechanism is inferred from structural similarity to Clozapine, not directly confirmed for those two.</t>
  </si>
  <si>
    <t xml:space="preserve">5. Methodology was independently validated before use</t>
  </si>
  <si>
    <t xml:space="preserve">The docking pipeline was validated by redocking the native ligand back into its own crystal structure (8W88) and reproducing the experimental pose (RMSD 0.771 Å, initial validation). Pocket center coordinates for every receptor were calculated two independent ways (direct coordinate averaging and PyMOL's centerofmass) and cross-checked before use. Every ambiguous PDB structure's identity was confirmed via literature search rather than assumed.</t>
  </si>
  <si>
    <t xml:space="preserve">6. Post-hoc correction: a validated, reproducible random seed still produced a non-physiological pose for Ulotaront</t>
  </si>
  <si>
    <t xml:space="preserve">Ulotaront's top-ranked pose against 8W88 under the project's standard settings (seed=42, exhaustiveness=32; see Section 3) scored well (-5.432 kcal/mol) but was found, on contact-distance inspection, to sit 7.4 Å from the crystal ligand position — far outside any reasonable pocket match, despite a confirmed clean, decontaminated receptor and a validated box center. Redocking with the identical receptor and box but without a fixed seed recovered the true crystal-bound pose almost exactly (RMSD = 0.669 Å, mode 4), at a corrected score of -4.983 kcal/mol, now used throughout this matrix in place of the original value. This demonstrates that a fixed seed can be perfectly reproducible while still converging on a non-physiological result for a specific ligand — reproducibility was necessary but not sufficient. Reported plainly: even with this corrected score, Ulotaront's LE-based selectivity gap (+0.049) is the least TAAR1-favoring of all 16 compounds in this panel — this positive control does not itself display a TAAR1-selective docking profile under this metric, a limitation reported here rather than obscured. Ralmitaront, the panel's other TAAR1-designed reference compound, has not yet been individually re-verified for the same seed-dependence issue and is flagged in the Limitations below.</t>
  </si>
  <si>
    <t xml:space="preserve">Limitations</t>
  </si>
  <si>
    <t xml:space="preserve">Docking scores are predicted binding affinities, not measured biological activity, and do not replace experimental validation. The D2 structure (6LUQ) was solved at lower resolution (3.1 Å); 55 residues with unresolved side-chain atoms were excluded during receptor preparation, though the critical ligand-anchoring residue (Asp114) was confirmed intact. Each receptor uses a single, mostly rigid conformation and does not model receptor flexibility beyond the bound/apo state comparison above. The TAAR1 homology model (Phase 4) was generated via SWISS-MODEL at a single point in time; because SWISS-MODEL's underlying template database is updated periodically, rebuilding this model later is not guaranteed to reproduce an identical structure — the original model file is included in this repository for exact reproducibility. Its top-scoring hit (Haloperidol) was diagnosed as a scoring-function artifact via contact-distance analysis, not resolved, and homology-model results were excluded from the final selectivity matrix as a result. Because a fixed random seed was shown in Section 6 to produce a non-physiological result for one compound (Ulotaront), the remaining fifteen 8W88 scores have not yet been individually re-verified for the same seed-dependence and should be treated as provisional pending that check; Ralmitaront is the highest-priority compound to verify next, as the panel's other TAAR1-designed positive control.</t>
  </si>
  <si>
    <t xml:space="preserve">TAAR1 Selectivity Screen — Master Results Matrix</t>
  </si>
  <si>
    <t xml:space="preserve">AutoDock Vina 1.2.7 | seed=42, exhaustiveness=32 | all receptors ligand-decontaminated and validated | values = predicted binding affinity, kcal/mol (more negative = stronger)</t>
  </si>
  <si>
    <t xml:space="preserve">Compound</t>
  </si>
  <si>
    <t xml:space="preserve">Category</t>
  </si>
  <si>
    <t xml:space="preserve">TAAR1 (8W88)</t>
  </si>
  <si>
    <t xml:space="preserve">Apo TAAR1 (8ZSJ)</t>
  </si>
  <si>
    <t xml:space="preserve">5-HT1A (8W8B)</t>
  </si>
  <si>
    <t xml:space="preserve">5-HT2A (6A93)</t>
  </si>
  <si>
    <t xml:space="preserve">D2 (6LUQ)</t>
  </si>
  <si>
    <t xml:space="preserve">Heavy Atoms</t>
  </si>
  <si>
    <t xml:space="preserve">Off-Target Avg</t>
  </si>
  <si>
    <t xml:space="preserve">Selectivity Gap (raw)</t>
  </si>
  <si>
    <t xml:space="preserve">LE (TAAR1)</t>
  </si>
  <si>
    <t xml:space="preserve">LE (Off-Target)</t>
  </si>
  <si>
    <t xml:space="preserve">LE Selectivity Gap</t>
  </si>
  <si>
    <t xml:space="preserve">Notes</t>
  </si>
  <si>
    <t xml:space="preserve">Ralmitaront</t>
  </si>
  <si>
    <t xml:space="preserve">TAAR1-designed</t>
  </si>
  <si>
    <t xml:space="preserve">Binds off-targets strongly — does not show a clean TAAR1-selective profile</t>
  </si>
  <si>
    <t xml:space="preserve">Ulotaront</t>
  </si>
  <si>
    <t xml:space="preserve">Score corrected after identifying the initial fixed-seed run converged on a non-physiological pose; verified via RMSD against the crystal structure (0.669 Å, mode 4, unseeded re-dock)</t>
  </si>
  <si>
    <t xml:space="preserve">Methamphetamine</t>
  </si>
  <si>
    <t xml:space="preserve">Trace amine-related stimulant</t>
  </si>
  <si>
    <t xml:space="preserve">Amphetamine</t>
  </si>
  <si>
    <t xml:space="preserve">Trace amine (endogenous)</t>
  </si>
  <si>
    <t xml:space="preserve">Tyramine</t>
  </si>
  <si>
    <t xml:space="preserve">beta-Phenylethylamine</t>
  </si>
  <si>
    <t xml:space="preserve">Guanabenz</t>
  </si>
  <si>
    <t xml:space="preserve">Antihypertensive (repurposed)</t>
  </si>
  <si>
    <t xml:space="preserve">Guanfacine</t>
  </si>
  <si>
    <t xml:space="preserve">Fenoldopam</t>
  </si>
  <si>
    <t xml:space="preserve">Weak score vs. apo state (8ZSJ)</t>
  </si>
  <si>
    <t xml:space="preserve">Risperidone</t>
  </si>
  <si>
    <t xml:space="preserve">Antipsychotic (repurposed)</t>
  </si>
  <si>
    <t xml:space="preserve">Strongest binder overall, across every receptor tested</t>
  </si>
  <si>
    <t xml:space="preserve">Haloperidol</t>
  </si>
  <si>
    <t xml:space="preserve">D2 structure (6LUQ) solved at lower resolution (3.1 Å); 55 residues with unresolved side chains excluded during prep</t>
  </si>
  <si>
    <t xml:space="preserve">Clozapine</t>
  </si>
  <si>
    <t xml:space="preserve">Positive score vs. apo state confirmed as genuine steric clash (1.85 Å contact with Val184 backbone, 20+ sub-3.2 Å contacts); file/box/protonation errors ruled out — see conformational selectivity finding</t>
  </si>
  <si>
    <t xml:space="preserve">Asenapine</t>
  </si>
  <si>
    <t xml:space="preserve">Near-zero score vs. apo state — see conformational selectivity finding</t>
  </si>
  <si>
    <t xml:space="preserve">Aripiprazole</t>
  </si>
  <si>
    <t xml:space="preserve">Quetiapine</t>
  </si>
  <si>
    <t xml:space="preserve">Positive score vs. apo state — inferred same steric mechanism as clozapine (structurally similar), not individually confirmed</t>
  </si>
  <si>
    <t xml:space="preserve">Olanzapine</t>
  </si>
  <si>
    <t xml:space="preserve">Off-Target Avg = average of 5-HT1A, 5-HT2A, and D2 (excludes Apo TAAR1, the same target in a different conformational state, not an off-target). Heavy Atoms = non-hydrogen atom count, extracted directly from each compound's actual docked ligand file.</t>
  </si>
  <si>
    <t xml:space="preserve">Selectivity Gap (raw) = TAAR1 score minus Off-Target Avg; negative = TAAR1-favoring. This raw metric is CONFOUNDED by ligand size (heavy atoms vs. raw off-target score, r = -0.907 across this dataset) and should not be used alone. LE (Ligand Efficiency) = score ÷ heavy atoms, normalizing for molecular size. LE Selectivity Gap = LE(TAAR1) − LE(Off-Target) is the size-corrected, trustworthy version of the selectivity metric — see Summary tab for what it actually shows.</t>
  </si>
  <si>
    <t xml:space="preserve">Selectivity Gap by Compound — Raw vs. Ligand-Efficiency-Corrected</t>
  </si>
  <si>
    <t xml:space="preserve">Raw gap is confounded by ligand size (r = -0.907 with heavy atom count) — LE gap is the trustworthy version</t>
  </si>
  <si>
    <t xml:space="preserve">Raw Selectivity Gap</t>
  </si>
</sst>
</file>

<file path=xl/styles.xml><?xml version="1.0" encoding="utf-8"?>
<styleSheet xmlns="http://schemas.openxmlformats.org/spreadsheetml/2006/main">
  <numFmts count="3">
    <numFmt numFmtId="164" formatCode="General"/>
    <numFmt numFmtId="165" formatCode="0.000"/>
    <numFmt numFmtId="166" formatCode="0.0000"/>
  </numFmts>
  <fonts count="18">
    <font>
      <sz val="11"/>
      <color theme="1"/>
      <name val="Calibri"/>
      <family val="2"/>
      <charset val="1"/>
    </font>
    <font>
      <sz val="10"/>
      <name val="Arial"/>
      <family val="0"/>
    </font>
    <font>
      <sz val="10"/>
      <name val="Arial"/>
      <family val="0"/>
    </font>
    <font>
      <sz val="10"/>
      <name val="Arial"/>
      <family val="0"/>
    </font>
    <font>
      <b val="true"/>
      <sz val="16"/>
      <color rgb="FF1F4E78"/>
      <name val="Calibri"/>
      <family val="0"/>
      <charset val="1"/>
    </font>
    <font>
      <i val="true"/>
      <sz val="11"/>
      <color rgb="FF595959"/>
      <name val="Calibri"/>
      <family val="0"/>
      <charset val="1"/>
    </font>
    <font>
      <b val="true"/>
      <sz val="12"/>
      <color rgb="FFFFFFFF"/>
      <name val="Calibri"/>
      <family val="0"/>
      <charset val="1"/>
    </font>
    <font>
      <b val="true"/>
      <sz val="11"/>
      <color rgb="FF1F4E78"/>
      <name val="Calibri"/>
      <family val="0"/>
      <charset val="1"/>
    </font>
    <font>
      <b val="true"/>
      <sz val="12"/>
      <color rgb="FF1F4E78"/>
      <name val="Calibri"/>
      <family val="0"/>
      <charset val="1"/>
    </font>
    <font>
      <sz val="11"/>
      <color rgb="FF000000"/>
      <name val="Calibri"/>
      <family val="0"/>
      <charset val="1"/>
    </font>
    <font>
      <b val="true"/>
      <sz val="14"/>
      <color rgb="FF1F4E78"/>
      <name val="Calibri"/>
      <family val="0"/>
      <charset val="1"/>
    </font>
    <font>
      <i val="true"/>
      <sz val="10"/>
      <color rgb="FF595959"/>
      <name val="Calibri"/>
      <family val="0"/>
      <charset val="1"/>
    </font>
    <font>
      <b val="true"/>
      <sz val="11"/>
      <color rgb="FFFFFFFF"/>
      <name val="Calibri"/>
      <family val="0"/>
      <charset val="1"/>
    </font>
    <font>
      <sz val="10"/>
      <name val="Arial"/>
      <family val="0"/>
      <charset val="1"/>
    </font>
    <font>
      <i val="true"/>
      <sz val="9"/>
      <color rgb="FF595959"/>
      <name val="Calibri"/>
      <family val="0"/>
      <charset val="1"/>
    </font>
    <font>
      <b val="true"/>
      <sz val="18"/>
      <color rgb="FF000000"/>
      <name val="Calibri"/>
      <family val="2"/>
    </font>
    <font>
      <sz val="10"/>
      <color rgb="FF000000"/>
      <name val="Calibri"/>
      <family val="2"/>
    </font>
    <font>
      <b val="true"/>
      <sz val="10"/>
      <color rgb="FF000000"/>
      <name val="Calibri"/>
      <family val="2"/>
    </font>
  </fonts>
  <fills count="72">
    <fill>
      <patternFill patternType="none"/>
    </fill>
    <fill>
      <patternFill patternType="gray125"/>
    </fill>
    <fill>
      <patternFill patternType="solid">
        <fgColor rgb="FF1F4E78"/>
        <bgColor rgb="FF595959"/>
      </patternFill>
    </fill>
    <fill>
      <patternFill patternType="solid">
        <fgColor rgb="FFD8E5F0"/>
        <bgColor rgb="FFDEF1E5"/>
      </patternFill>
    </fill>
    <fill>
      <patternFill patternType="darkGray">
        <fgColor rgb="FFC6E8D0"/>
        <bgColor rgb="FFD0EDD8"/>
      </patternFill>
    </fill>
    <fill>
      <patternFill patternType="solid">
        <fgColor rgb="FFFEE0E1"/>
        <bgColor rgb="FFFDDBDC"/>
      </patternFill>
    </fill>
    <fill>
      <patternFill patternType="darkGray">
        <fgColor rgb="FFA6DAB4"/>
        <bgColor rgb="FFB2E0BF"/>
      </patternFill>
    </fill>
    <fill>
      <patternFill patternType="darkGray">
        <fgColor rgb="FFFBAAAB"/>
        <bgColor rgb="FFFBB2B3"/>
      </patternFill>
    </fill>
    <fill>
      <patternFill patternType="solid">
        <fgColor rgb="FFFBAAAB"/>
        <bgColor rgb="FFFBB2B3"/>
      </patternFill>
    </fill>
    <fill>
      <patternFill patternType="solid">
        <fgColor rgb="FFFFF2CC"/>
        <bgColor rgb="FFFEEFEF"/>
      </patternFill>
    </fill>
    <fill>
      <patternFill patternType="solid">
        <fgColor rgb="FFFEEBEC"/>
        <bgColor rgb="FFFEE8E8"/>
      </patternFill>
    </fill>
    <fill>
      <patternFill patternType="solid">
        <fgColor rgb="FFFFFAFA"/>
        <bgColor rgb="FFFFF9F9"/>
      </patternFill>
    </fill>
    <fill>
      <patternFill patternType="solid">
        <fgColor rgb="FFFFF6F6"/>
        <bgColor rgb="FFFFF7F7"/>
      </patternFill>
    </fill>
    <fill>
      <patternFill patternType="solid">
        <fgColor rgb="FFFEF2F2"/>
        <bgColor rgb="FFFEF1F1"/>
      </patternFill>
    </fill>
    <fill>
      <patternFill patternType="solid">
        <fgColor rgb="FFFEF1F1"/>
        <bgColor rgb="FFFEF2F2"/>
      </patternFill>
    </fill>
    <fill>
      <patternFill patternType="darkGray">
        <fgColor rgb="FFFCBABB"/>
        <bgColor rgb="FFFCBEBF"/>
      </patternFill>
    </fill>
    <fill>
      <patternFill patternType="solid">
        <fgColor rgb="FFF96B6D"/>
        <bgColor rgb="FFF97D7F"/>
      </patternFill>
    </fill>
    <fill>
      <patternFill patternType="solid">
        <fgColor rgb="FFFFF9F9"/>
        <bgColor rgb="FFFFFAFA"/>
      </patternFill>
    </fill>
    <fill>
      <patternFill patternType="solid">
        <fgColor rgb="FFFFF8F8"/>
        <bgColor rgb="FFFFF7F7"/>
      </patternFill>
    </fill>
    <fill>
      <patternFill patternType="solid">
        <fgColor rgb="FFFFFDFD"/>
        <bgColor rgb="FFFFFCFC"/>
      </patternFill>
    </fill>
    <fill>
      <patternFill patternType="solid">
        <fgColor rgb="FFFFFCFC"/>
        <bgColor rgb="FFFFFBFB"/>
      </patternFill>
    </fill>
    <fill>
      <patternFill patternType="solid">
        <fgColor rgb="FFFEE6E6"/>
        <bgColor rgb="FFFEE7E7"/>
      </patternFill>
    </fill>
    <fill>
      <patternFill patternType="solid">
        <fgColor rgb="FFFCBEBF"/>
        <bgColor rgb="FFFCC2C2"/>
      </patternFill>
    </fill>
    <fill>
      <patternFill patternType="solid">
        <fgColor rgb="FFFFF5F5"/>
        <bgColor rgb="FFFFF6F6"/>
      </patternFill>
    </fill>
    <fill>
      <patternFill patternType="solid">
        <fgColor rgb="FFFFFBFB"/>
        <bgColor rgb="FFFFFCFC"/>
      </patternFill>
    </fill>
    <fill>
      <patternFill patternType="solid">
        <fgColor rgb="FFFEF3F3"/>
        <bgColor rgb="FFFEF2F2"/>
      </patternFill>
    </fill>
    <fill>
      <patternFill patternType="solid">
        <fgColor rgb="FFFFF7F7"/>
        <bgColor rgb="FFFFF6F6"/>
      </patternFill>
    </fill>
    <fill>
      <patternFill patternType="solid">
        <fgColor rgb="FFFDDBDC"/>
        <bgColor rgb="FFFDDADA"/>
      </patternFill>
    </fill>
    <fill>
      <patternFill patternType="solid">
        <fgColor rgb="FFFEEFF0"/>
        <bgColor rgb="FFFEEFEF"/>
      </patternFill>
    </fill>
    <fill>
      <patternFill patternType="solid">
        <fgColor rgb="FFFEF4F4"/>
        <bgColor rgb="FFFEF3F3"/>
      </patternFill>
    </fill>
    <fill>
      <patternFill patternType="solid">
        <fgColor rgb="FFFEEFEF"/>
        <bgColor rgb="FFFEEFF0"/>
      </patternFill>
    </fill>
    <fill>
      <patternFill patternType="solid">
        <fgColor rgb="FFFDD6D6"/>
        <bgColor rgb="FFFDD2D3"/>
      </patternFill>
    </fill>
    <fill>
      <patternFill patternType="solid">
        <fgColor rgb="FFF97D7F"/>
        <bgColor rgb="FFF96B6D"/>
      </patternFill>
    </fill>
    <fill>
      <patternFill patternType="solid">
        <fgColor rgb="FFFEFFFE"/>
        <bgColor rgb="FFFFFFFF"/>
      </patternFill>
    </fill>
    <fill>
      <patternFill patternType="solid">
        <fgColor rgb="FFEAF7ED"/>
        <bgColor rgb="FFDEF1E5"/>
      </patternFill>
    </fill>
    <fill>
      <patternFill patternType="solid">
        <fgColor rgb="FFFCFDFC"/>
        <bgColor rgb="FFFFFDFD"/>
      </patternFill>
    </fill>
    <fill>
      <patternFill patternType="solid">
        <fgColor rgb="FFFFFEFE"/>
        <bgColor rgb="FFFFFFFF"/>
      </patternFill>
    </fill>
    <fill>
      <patternFill patternType="solid">
        <fgColor rgb="FFFEE7E7"/>
        <bgColor rgb="FFFEE7E8"/>
      </patternFill>
    </fill>
    <fill>
      <patternFill patternType="solid">
        <fgColor rgb="FFFDD2D3"/>
        <bgColor rgb="FFFDD6D6"/>
      </patternFill>
    </fill>
    <fill>
      <patternFill patternType="solid">
        <fgColor rgb="FFFFFFFF"/>
        <bgColor rgb="FFFEFFFE"/>
      </patternFill>
    </fill>
    <fill>
      <patternFill patternType="solid">
        <fgColor rgb="FFF9FDFA"/>
        <bgColor rgb="FFFCFDFC"/>
      </patternFill>
    </fill>
    <fill>
      <patternFill patternType="darkGray">
        <fgColor rgb="FFFBB2B3"/>
        <bgColor rgb="FFFBAAAB"/>
      </patternFill>
    </fill>
    <fill>
      <patternFill patternType="solid">
        <fgColor rgb="FFFCC5C5"/>
        <bgColor rgb="FFFCC2C2"/>
      </patternFill>
    </fill>
    <fill>
      <patternFill patternType="darkGray">
        <fgColor rgb="FFEAF7ED"/>
        <bgColor rgb="FFDEF1E5"/>
      </patternFill>
    </fill>
    <fill>
      <patternFill patternType="solid">
        <fgColor rgb="FFFCC2C2"/>
        <bgColor rgb="FFFCC5C5"/>
      </patternFill>
    </fill>
    <fill>
      <patternFill patternType="solid">
        <fgColor rgb="FFFCBABB"/>
        <bgColor rgb="FFFCBEBF"/>
      </patternFill>
    </fill>
    <fill>
      <patternFill patternType="solid">
        <fgColor rgb="FF98D4A8"/>
        <bgColor rgb="FF8DD09E"/>
      </patternFill>
    </fill>
    <fill>
      <patternFill patternType="darkGray">
        <fgColor rgb="FF8DD09E"/>
        <bgColor rgb="FF98D4A8"/>
      </patternFill>
    </fill>
    <fill>
      <patternFill patternType="solid">
        <fgColor rgb="FF6DC484"/>
        <bgColor rgb="FF8DD09E"/>
      </patternFill>
    </fill>
    <fill>
      <patternFill patternType="darkGray">
        <fgColor rgb="FFF97D7F"/>
        <bgColor rgb="FFF96B6D"/>
      </patternFill>
    </fill>
    <fill>
      <patternFill patternType="darkGray">
        <fgColor rgb="FFB2E0BF"/>
        <bgColor rgb="FFA6DAB4"/>
      </patternFill>
    </fill>
    <fill>
      <patternFill patternType="solid">
        <fgColor rgb="FFFEE8E8"/>
        <bgColor rgb="FFFEE7E8"/>
      </patternFill>
    </fill>
    <fill>
      <patternFill patternType="darkGray">
        <fgColor rgb="FFB8E2C4"/>
        <bgColor rgb="FFB2E0BF"/>
      </patternFill>
    </fill>
    <fill>
      <patternFill patternType="solid">
        <fgColor rgb="FFB2E0BF"/>
        <bgColor rgb="FFB8E2C4"/>
      </patternFill>
    </fill>
    <fill>
      <patternFill patternType="darkGray">
        <fgColor rgb="FF98D4A8"/>
        <bgColor rgb="FF8DD09E"/>
      </patternFill>
    </fill>
    <fill>
      <patternFill patternType="solid">
        <fgColor rgb="FFFEE7E8"/>
        <bgColor rgb="FFFEE7E7"/>
      </patternFill>
    </fill>
    <fill>
      <patternFill patternType="darkGray">
        <fgColor rgb="FFB2E0BF"/>
        <bgColor rgb="FFB8E2C4"/>
      </patternFill>
    </fill>
    <fill>
      <patternFill patternType="darkGray">
        <fgColor rgb="FFDEF1E5"/>
        <bgColor rgb="FFD0EDD8"/>
      </patternFill>
    </fill>
    <fill>
      <patternFill patternType="solid">
        <fgColor rgb="FF5478BC"/>
        <bgColor rgb="FF595959"/>
      </patternFill>
    </fill>
    <fill>
      <patternFill patternType="solid">
        <fgColor rgb="FFB8E2C4"/>
        <bgColor rgb="FFB2E0BF"/>
      </patternFill>
    </fill>
    <fill>
      <patternFill patternType="solid">
        <fgColor rgb="FF8DD09E"/>
        <bgColor rgb="FF98D4A8"/>
      </patternFill>
    </fill>
    <fill>
      <patternFill patternType="darkGray">
        <fgColor rgb="FFDEF1E5"/>
        <bgColor rgb="FFD8E5F0"/>
      </patternFill>
    </fill>
    <fill>
      <patternFill patternType="solid">
        <fgColor rgb="FFB0C4E7"/>
        <bgColor rgb="FFBFBFBF"/>
      </patternFill>
    </fill>
    <fill>
      <patternFill patternType="darkGray">
        <fgColor rgb="FFC6E8D0"/>
        <bgColor rgb="FFB8E2C4"/>
      </patternFill>
    </fill>
    <fill>
      <patternFill patternType="darkGray">
        <fgColor rgb="FFA6DAB4"/>
        <bgColor rgb="FF98D4A8"/>
      </patternFill>
    </fill>
    <fill>
      <patternFill patternType="darkGray">
        <fgColor rgb="FFD0EDD8"/>
        <bgColor rgb="FFC6E8D0"/>
      </patternFill>
    </fill>
    <fill>
      <patternFill patternType="darkGray">
        <fgColor rgb="FFF96B6D"/>
        <bgColor rgb="FFF97D7F"/>
      </patternFill>
    </fill>
    <fill>
      <patternFill patternType="solid">
        <fgColor rgb="FFDEF1E5"/>
        <bgColor rgb="FFEAF7ED"/>
      </patternFill>
    </fill>
    <fill>
      <patternFill patternType="solid">
        <fgColor rgb="FFFBB2B3"/>
        <bgColor rgb="FFFCBABB"/>
      </patternFill>
    </fill>
    <fill>
      <patternFill patternType="solid">
        <fgColor rgb="FFF97D7F"/>
        <bgColor rgb="FFF96B6D"/>
      </patternFill>
    </fill>
    <fill>
      <patternFill patternType="solid">
        <fgColor rgb="FFD0EDD8"/>
        <bgColor rgb="FFC6E8D0"/>
      </patternFill>
    </fill>
    <fill>
      <patternFill patternType="solid">
        <fgColor rgb="FFFDDADA"/>
        <bgColor rgb="FFFDDBD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3"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left" vertical="center" textRotation="0" wrapText="false" indent="0" shrinkToFit="false"/>
      <protection locked="true" hidden="false"/>
    </xf>
    <xf numFmtId="165" fontId="13" fillId="4" borderId="1" xfId="0" applyFont="true" applyBorder="true" applyAlignment="true" applyProtection="false">
      <alignment horizontal="center" vertical="center" textRotation="0" wrapText="false" indent="0" shrinkToFit="false"/>
      <protection locked="true" hidden="false"/>
    </xf>
    <xf numFmtId="165" fontId="13" fillId="5" borderId="1" xfId="0" applyFont="true" applyBorder="true" applyAlignment="true" applyProtection="false">
      <alignment horizontal="center" vertical="center" textRotation="0" wrapText="false" indent="0" shrinkToFit="false"/>
      <protection locked="true" hidden="false"/>
    </xf>
    <xf numFmtId="165" fontId="13" fillId="6" borderId="1" xfId="0" applyFont="true" applyBorder="true" applyAlignment="true" applyProtection="false">
      <alignment horizontal="center" vertical="center" textRotation="0" wrapText="false" indent="0" shrinkToFit="false"/>
      <protection locked="true" hidden="false"/>
    </xf>
    <xf numFmtId="164" fontId="13" fillId="3" borderId="1" xfId="0" applyFont="true" applyBorder="true" applyAlignment="true" applyProtection="false">
      <alignment horizontal="center" vertical="center" textRotation="0" wrapText="false" indent="0" shrinkToFit="false"/>
      <protection locked="true" hidden="false"/>
    </xf>
    <xf numFmtId="165" fontId="13" fillId="3" borderId="1" xfId="0" applyFont="true" applyBorder="true" applyAlignment="true" applyProtection="false">
      <alignment horizontal="center" vertical="center" textRotation="0" wrapText="false" indent="0" shrinkToFit="false"/>
      <protection locked="true" hidden="false"/>
    </xf>
    <xf numFmtId="165" fontId="13" fillId="7" borderId="1" xfId="0" applyFont="true" applyBorder="true" applyAlignment="true" applyProtection="false">
      <alignment horizontal="center" vertical="center" textRotation="0" wrapText="false" indent="0" shrinkToFit="false"/>
      <protection locked="true" hidden="false"/>
    </xf>
    <xf numFmtId="166" fontId="13" fillId="3" borderId="1" xfId="0" applyFont="true" applyBorder="true" applyAlignment="true" applyProtection="false">
      <alignment horizontal="center" vertical="center" textRotation="0" wrapText="false" indent="0" shrinkToFit="false"/>
      <protection locked="true" hidden="false"/>
    </xf>
    <xf numFmtId="166" fontId="13" fillId="8" borderId="1" xfId="0" applyFont="true" applyBorder="true" applyAlignment="true" applyProtection="false">
      <alignment horizontal="center" vertical="center" textRotation="0" wrapText="false" indent="0" shrinkToFit="false"/>
      <protection locked="true" hidden="false"/>
    </xf>
    <xf numFmtId="164" fontId="13" fillId="3" borderId="1" xfId="0" applyFont="true" applyBorder="true" applyAlignment="true" applyProtection="false">
      <alignment horizontal="left" vertical="top" textRotation="0" wrapText="true" indent="0" shrinkToFit="false"/>
      <protection locked="true" hidden="false"/>
    </xf>
    <xf numFmtId="164" fontId="13" fillId="9" borderId="1" xfId="0" applyFont="true" applyBorder="true" applyAlignment="true" applyProtection="false">
      <alignment horizontal="left" vertical="center" textRotation="0" wrapText="false" indent="0" shrinkToFit="false"/>
      <protection locked="true" hidden="false"/>
    </xf>
    <xf numFmtId="165" fontId="13" fillId="10" borderId="1" xfId="0" applyFont="true" applyBorder="true" applyAlignment="true" applyProtection="false">
      <alignment horizontal="center" vertical="center" textRotation="0" wrapText="false" indent="0" shrinkToFit="false"/>
      <protection locked="true" hidden="false"/>
    </xf>
    <xf numFmtId="165" fontId="13" fillId="11" borderId="1" xfId="0" applyFont="true" applyBorder="true" applyAlignment="true" applyProtection="false">
      <alignment horizontal="center" vertical="center" textRotation="0" wrapText="false" indent="0" shrinkToFit="false"/>
      <protection locked="true" hidden="false"/>
    </xf>
    <xf numFmtId="165" fontId="13" fillId="12" borderId="1" xfId="0" applyFont="true" applyBorder="true" applyAlignment="true" applyProtection="false">
      <alignment horizontal="center" vertical="center" textRotation="0" wrapText="false" indent="0" shrinkToFit="false"/>
      <protection locked="true" hidden="false"/>
    </xf>
    <xf numFmtId="165" fontId="13" fillId="13" borderId="1" xfId="0" applyFont="true" applyBorder="true" applyAlignment="true" applyProtection="false">
      <alignment horizontal="center" vertical="center" textRotation="0" wrapText="false" indent="0" shrinkToFit="false"/>
      <protection locked="true" hidden="false"/>
    </xf>
    <xf numFmtId="165" fontId="13" fillId="14" borderId="1" xfId="0" applyFont="true" applyBorder="true" applyAlignment="true" applyProtection="false">
      <alignment horizontal="center" vertical="center" textRotation="0" wrapText="false" indent="0" shrinkToFit="false"/>
      <protection locked="true" hidden="false"/>
    </xf>
    <xf numFmtId="164" fontId="13" fillId="9" borderId="1" xfId="0" applyFont="true" applyBorder="true" applyAlignment="true" applyProtection="false">
      <alignment horizontal="center" vertical="center" textRotation="0" wrapText="false" indent="0" shrinkToFit="false"/>
      <protection locked="true" hidden="false"/>
    </xf>
    <xf numFmtId="165" fontId="13" fillId="9" borderId="1" xfId="0" applyFont="true" applyBorder="true" applyAlignment="true" applyProtection="false">
      <alignment horizontal="center" vertical="center" textRotation="0" wrapText="false" indent="0" shrinkToFit="false"/>
      <protection locked="true" hidden="false"/>
    </xf>
    <xf numFmtId="165" fontId="13" fillId="15" borderId="1" xfId="0" applyFont="true" applyBorder="true" applyAlignment="true" applyProtection="false">
      <alignment horizontal="center" vertical="center" textRotation="0" wrapText="false" indent="0" shrinkToFit="false"/>
      <protection locked="true" hidden="false"/>
    </xf>
    <xf numFmtId="166" fontId="13" fillId="9" borderId="1" xfId="0" applyFont="true" applyBorder="true" applyAlignment="true" applyProtection="false">
      <alignment horizontal="center" vertical="center" textRotation="0" wrapText="false" indent="0" shrinkToFit="false"/>
      <protection locked="true" hidden="false"/>
    </xf>
    <xf numFmtId="166" fontId="13" fillId="16" borderId="1" xfId="0" applyFont="true" applyBorder="true" applyAlignment="true" applyProtection="false">
      <alignment horizontal="center" vertical="center" textRotation="0" wrapText="false" indent="0" shrinkToFit="false"/>
      <protection locked="true" hidden="false"/>
    </xf>
    <xf numFmtId="164" fontId="13" fillId="9"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5" fontId="13" fillId="17" borderId="1" xfId="0" applyFont="true" applyBorder="true" applyAlignment="true" applyProtection="false">
      <alignment horizontal="center" vertical="center" textRotation="0" wrapText="false" indent="0" shrinkToFit="false"/>
      <protection locked="true" hidden="false"/>
    </xf>
    <xf numFmtId="165" fontId="13" fillId="18" borderId="1" xfId="0" applyFont="true" applyBorder="true" applyAlignment="true" applyProtection="false">
      <alignment horizontal="center" vertical="center" textRotation="0" wrapText="false" indent="0" shrinkToFit="false"/>
      <protection locked="true" hidden="false"/>
    </xf>
    <xf numFmtId="165" fontId="13" fillId="19" borderId="1" xfId="0" applyFont="true" applyBorder="true" applyAlignment="true" applyProtection="false">
      <alignment horizontal="center" vertical="center" textRotation="0" wrapText="false" indent="0" shrinkToFit="false"/>
      <protection locked="true" hidden="false"/>
    </xf>
    <xf numFmtId="165" fontId="13" fillId="2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5" fontId="13" fillId="0" borderId="1" xfId="0" applyFont="true" applyBorder="true" applyAlignment="true" applyProtection="false">
      <alignment horizontal="center" vertical="center" textRotation="0" wrapText="false" indent="0" shrinkToFit="false"/>
      <protection locked="true" hidden="false"/>
    </xf>
    <xf numFmtId="165" fontId="13" fillId="21" borderId="1" xfId="0" applyFont="true" applyBorder="true" applyAlignment="true" applyProtection="false">
      <alignment horizontal="center" vertical="center" textRotation="0" wrapText="false" indent="0" shrinkToFit="false"/>
      <protection locked="true" hidden="false"/>
    </xf>
    <xf numFmtId="166" fontId="13" fillId="0" borderId="1" xfId="0" applyFont="true" applyBorder="true" applyAlignment="true" applyProtection="false">
      <alignment horizontal="center" vertical="center" textRotation="0" wrapText="false" indent="0" shrinkToFit="false"/>
      <protection locked="true" hidden="false"/>
    </xf>
    <xf numFmtId="166" fontId="13" fillId="22"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5" fontId="13" fillId="23" borderId="1" xfId="0" applyFont="true" applyBorder="true" applyAlignment="true" applyProtection="false">
      <alignment horizontal="center" vertical="center" textRotation="0" wrapText="false" indent="0" shrinkToFit="false"/>
      <protection locked="true" hidden="false"/>
    </xf>
    <xf numFmtId="165" fontId="13" fillId="24" borderId="1" xfId="0" applyFont="true" applyBorder="true" applyAlignment="true" applyProtection="false">
      <alignment horizontal="center" vertical="center" textRotation="0" wrapText="false" indent="0" shrinkToFit="false"/>
      <protection locked="true" hidden="false"/>
    </xf>
    <xf numFmtId="166" fontId="13" fillId="7" borderId="1" xfId="0" applyFont="true" applyBorder="true" applyAlignment="true" applyProtection="false">
      <alignment horizontal="center" vertical="center" textRotation="0" wrapText="false" indent="0" shrinkToFit="false"/>
      <protection locked="true" hidden="false"/>
    </xf>
    <xf numFmtId="165" fontId="13" fillId="25" borderId="1" xfId="0" applyFont="true" applyBorder="true" applyAlignment="true" applyProtection="false">
      <alignment horizontal="center" vertical="center" textRotation="0" wrapText="false" indent="0" shrinkToFit="false"/>
      <protection locked="true" hidden="false"/>
    </xf>
    <xf numFmtId="165" fontId="13" fillId="26" borderId="1" xfId="0" applyFont="true" applyBorder="true" applyAlignment="true" applyProtection="false">
      <alignment horizontal="center" vertical="center" textRotation="0" wrapText="false" indent="0" shrinkToFit="false"/>
      <protection locked="true" hidden="false"/>
    </xf>
    <xf numFmtId="165" fontId="13" fillId="27" borderId="1" xfId="0" applyFont="true" applyBorder="true" applyAlignment="true" applyProtection="false">
      <alignment horizontal="center" vertical="center" textRotation="0" wrapText="false" indent="0" shrinkToFit="false"/>
      <protection locked="true" hidden="false"/>
    </xf>
    <xf numFmtId="165" fontId="13" fillId="28" borderId="1" xfId="0" applyFont="true" applyBorder="true" applyAlignment="true" applyProtection="false">
      <alignment horizontal="center" vertical="center" textRotation="0" wrapText="false" indent="0" shrinkToFit="false"/>
      <protection locked="true" hidden="false"/>
    </xf>
    <xf numFmtId="165" fontId="13" fillId="29" borderId="1" xfId="0" applyFont="true" applyBorder="true" applyAlignment="true" applyProtection="false">
      <alignment horizontal="center" vertical="center" textRotation="0" wrapText="false" indent="0" shrinkToFit="false"/>
      <protection locked="true" hidden="false"/>
    </xf>
    <xf numFmtId="165" fontId="13" fillId="30" borderId="1" xfId="0" applyFont="true" applyBorder="true" applyAlignment="true" applyProtection="false">
      <alignment horizontal="center" vertical="center" textRotation="0" wrapText="false" indent="0" shrinkToFit="false"/>
      <protection locked="true" hidden="false"/>
    </xf>
    <xf numFmtId="165" fontId="13" fillId="31" borderId="1" xfId="0" applyFont="true" applyBorder="true" applyAlignment="true" applyProtection="false">
      <alignment horizontal="center" vertical="center" textRotation="0" wrapText="false" indent="0" shrinkToFit="false"/>
      <protection locked="true" hidden="false"/>
    </xf>
    <xf numFmtId="166" fontId="13" fillId="32" borderId="1" xfId="0" applyFont="true" applyBorder="true" applyAlignment="true" applyProtection="false">
      <alignment horizontal="center" vertical="center" textRotation="0" wrapText="false" indent="0" shrinkToFit="false"/>
      <protection locked="true" hidden="false"/>
    </xf>
    <xf numFmtId="165" fontId="13" fillId="33" borderId="1" xfId="0" applyFont="true" applyBorder="true" applyAlignment="true" applyProtection="false">
      <alignment horizontal="center" vertical="center" textRotation="0" wrapText="false" indent="0" shrinkToFit="false"/>
      <protection locked="true" hidden="false"/>
    </xf>
    <xf numFmtId="165" fontId="13" fillId="34" borderId="1" xfId="0" applyFont="true" applyBorder="true" applyAlignment="true" applyProtection="false">
      <alignment horizontal="center" vertical="center" textRotation="0" wrapText="false" indent="0" shrinkToFit="false"/>
      <protection locked="true" hidden="false"/>
    </xf>
    <xf numFmtId="165" fontId="13" fillId="35" borderId="1" xfId="0" applyFont="true" applyBorder="true" applyAlignment="true" applyProtection="false">
      <alignment horizontal="center" vertical="center" textRotation="0" wrapText="false" indent="0" shrinkToFit="false"/>
      <protection locked="true" hidden="false"/>
    </xf>
    <xf numFmtId="165" fontId="13" fillId="36" borderId="1" xfId="0" applyFont="true" applyBorder="true" applyAlignment="true" applyProtection="false">
      <alignment horizontal="center" vertical="center" textRotation="0" wrapText="false" indent="0" shrinkToFit="false"/>
      <protection locked="true" hidden="false"/>
    </xf>
    <xf numFmtId="165" fontId="13" fillId="37" borderId="1" xfId="0" applyFont="true" applyBorder="true" applyAlignment="true" applyProtection="false">
      <alignment horizontal="center" vertical="center" textRotation="0" wrapText="false" indent="0" shrinkToFit="false"/>
      <protection locked="true" hidden="false"/>
    </xf>
    <xf numFmtId="166" fontId="13" fillId="38" borderId="1" xfId="0" applyFont="true" applyBorder="true" applyAlignment="true" applyProtection="false">
      <alignment horizontal="center" vertical="center" textRotation="0" wrapText="false" indent="0" shrinkToFit="false"/>
      <protection locked="true" hidden="false"/>
    </xf>
    <xf numFmtId="165" fontId="13" fillId="39" borderId="1" xfId="0" applyFont="true" applyBorder="true" applyAlignment="true" applyProtection="false">
      <alignment horizontal="center" vertical="center" textRotation="0" wrapText="false" indent="0" shrinkToFit="false"/>
      <protection locked="true" hidden="false"/>
    </xf>
    <xf numFmtId="165" fontId="13" fillId="40" borderId="1" xfId="0" applyFont="true" applyBorder="true" applyAlignment="true" applyProtection="false">
      <alignment horizontal="center" vertical="center" textRotation="0" wrapText="false" indent="0" shrinkToFit="false"/>
      <protection locked="true" hidden="false"/>
    </xf>
    <xf numFmtId="165" fontId="13" fillId="38" borderId="1" xfId="0" applyFont="true" applyBorder="true" applyAlignment="true" applyProtection="false">
      <alignment horizontal="center" vertical="center" textRotation="0" wrapText="false" indent="0" shrinkToFit="false"/>
      <protection locked="true" hidden="false"/>
    </xf>
    <xf numFmtId="166" fontId="13" fillId="41" borderId="1" xfId="0" applyFont="true" applyBorder="true" applyAlignment="true" applyProtection="false">
      <alignment horizontal="center" vertical="center" textRotation="0" wrapText="false" indent="0" shrinkToFit="false"/>
      <protection locked="true" hidden="false"/>
    </xf>
    <xf numFmtId="165" fontId="13" fillId="42" borderId="1" xfId="0" applyFont="true" applyBorder="true" applyAlignment="true" applyProtection="false">
      <alignment horizontal="center" vertical="center" textRotation="0" wrapText="false" indent="0" shrinkToFit="false"/>
      <protection locked="true" hidden="false"/>
    </xf>
    <xf numFmtId="165" fontId="13" fillId="43" borderId="1" xfId="0" applyFont="true" applyBorder="true" applyAlignment="true" applyProtection="false">
      <alignment horizontal="center" vertical="center" textRotation="0" wrapText="false" indent="0" shrinkToFit="false"/>
      <protection locked="true" hidden="false"/>
    </xf>
    <xf numFmtId="165" fontId="13" fillId="44" borderId="1" xfId="0" applyFont="true" applyBorder="true" applyAlignment="true" applyProtection="false">
      <alignment horizontal="center" vertical="center" textRotation="0" wrapText="false" indent="0" shrinkToFit="false"/>
      <protection locked="true" hidden="false"/>
    </xf>
    <xf numFmtId="166" fontId="13" fillId="45" borderId="1" xfId="0" applyFont="true" applyBorder="true" applyAlignment="true" applyProtection="false">
      <alignment horizontal="center" vertical="center" textRotation="0" wrapText="false" indent="0" shrinkToFit="false"/>
      <protection locked="true" hidden="false"/>
    </xf>
    <xf numFmtId="165" fontId="13" fillId="46" borderId="1" xfId="0" applyFont="true" applyBorder="true" applyAlignment="true" applyProtection="false">
      <alignment horizontal="center" vertical="center" textRotation="0" wrapText="false" indent="0" shrinkToFit="false"/>
      <protection locked="true" hidden="false"/>
    </xf>
    <xf numFmtId="165" fontId="13" fillId="47" borderId="1" xfId="0" applyFont="true" applyBorder="true" applyAlignment="true" applyProtection="false">
      <alignment horizontal="center" vertical="center" textRotation="0" wrapText="false" indent="0" shrinkToFit="false"/>
      <protection locked="true" hidden="false"/>
    </xf>
    <xf numFmtId="165" fontId="13" fillId="48" borderId="1" xfId="0" applyFont="true" applyBorder="true" applyAlignment="true" applyProtection="false">
      <alignment horizontal="center" vertical="center" textRotation="0" wrapText="false" indent="0" shrinkToFit="false"/>
      <protection locked="true" hidden="false"/>
    </xf>
    <xf numFmtId="165" fontId="13" fillId="49" borderId="1" xfId="0" applyFont="true" applyBorder="true" applyAlignment="true" applyProtection="false">
      <alignment horizontal="center" vertical="center" textRotation="0" wrapText="false" indent="0" shrinkToFit="false"/>
      <protection locked="true" hidden="false"/>
    </xf>
    <xf numFmtId="165" fontId="13" fillId="50" borderId="1" xfId="0" applyFont="true" applyBorder="true" applyAlignment="true" applyProtection="false">
      <alignment horizontal="center" vertical="center" textRotation="0" wrapText="false" indent="0" shrinkToFit="false"/>
      <protection locked="true" hidden="false"/>
    </xf>
    <xf numFmtId="165" fontId="13" fillId="51" borderId="1" xfId="0" applyFont="true" applyBorder="true" applyAlignment="true" applyProtection="false">
      <alignment horizontal="center" vertical="center" textRotation="0" wrapText="false" indent="0" shrinkToFit="false"/>
      <protection locked="true" hidden="false"/>
    </xf>
    <xf numFmtId="165" fontId="13" fillId="52" borderId="1" xfId="0" applyFont="true" applyBorder="true" applyAlignment="true" applyProtection="false">
      <alignment horizontal="center" vertical="center" textRotation="0" wrapText="false" indent="0" shrinkToFit="false"/>
      <protection locked="true" hidden="false"/>
    </xf>
    <xf numFmtId="165" fontId="13" fillId="53" borderId="1" xfId="0" applyFont="true" applyBorder="true" applyAlignment="true" applyProtection="false">
      <alignment horizontal="center" vertical="center" textRotation="0" wrapText="false" indent="0" shrinkToFit="false"/>
      <protection locked="true" hidden="false"/>
    </xf>
    <xf numFmtId="165" fontId="13" fillId="54" borderId="1" xfId="0" applyFont="true" applyBorder="true" applyAlignment="true" applyProtection="false">
      <alignment horizontal="center" vertical="center" textRotation="0" wrapText="false" indent="0" shrinkToFit="false"/>
      <protection locked="true" hidden="false"/>
    </xf>
    <xf numFmtId="166" fontId="13" fillId="55" borderId="1" xfId="0" applyFont="true" applyBorder="true" applyAlignment="true" applyProtection="false">
      <alignment horizontal="center" vertical="center" textRotation="0" wrapText="false" indent="0" shrinkToFit="false"/>
      <protection locked="true" hidden="false"/>
    </xf>
    <xf numFmtId="165" fontId="13" fillId="16" borderId="1" xfId="0" applyFont="true" applyBorder="true" applyAlignment="true" applyProtection="false">
      <alignment horizontal="center" vertical="center" textRotation="0" wrapText="false" indent="0" shrinkToFit="false"/>
      <protection locked="true" hidden="false"/>
    </xf>
    <xf numFmtId="165" fontId="13" fillId="56" borderId="1" xfId="0" applyFont="true" applyBorder="true" applyAlignment="true" applyProtection="false">
      <alignment horizontal="center" vertical="center" textRotation="0" wrapText="false" indent="0" shrinkToFit="false"/>
      <protection locked="true" hidden="false"/>
    </xf>
    <xf numFmtId="165" fontId="13" fillId="57" borderId="1" xfId="0" applyFont="true" applyBorder="true" applyAlignment="true" applyProtection="false">
      <alignment horizontal="center" vertical="center" textRotation="0" wrapText="false" indent="0" shrinkToFit="false"/>
      <protection locked="true" hidden="false"/>
    </xf>
    <xf numFmtId="165" fontId="13" fillId="58" borderId="1" xfId="0" applyFont="true" applyBorder="true" applyAlignment="true" applyProtection="false">
      <alignment horizontal="center" vertical="center" textRotation="0" wrapText="false" indent="0" shrinkToFit="false"/>
      <protection locked="true" hidden="false"/>
    </xf>
    <xf numFmtId="166" fontId="13" fillId="58" borderId="1" xfId="0" applyFont="true" applyBorder="true" applyAlignment="true" applyProtection="false">
      <alignment horizontal="center" vertical="center" textRotation="0" wrapText="false" indent="0" shrinkToFit="false"/>
      <protection locked="true" hidden="false"/>
    </xf>
    <xf numFmtId="165" fontId="13" fillId="59" borderId="1" xfId="0" applyFont="true" applyBorder="true" applyAlignment="true" applyProtection="false">
      <alignment horizontal="center" vertical="center" textRotation="0" wrapText="false" indent="0" shrinkToFit="false"/>
      <protection locked="true" hidden="false"/>
    </xf>
    <xf numFmtId="165" fontId="13" fillId="60" borderId="1" xfId="0" applyFont="true" applyBorder="true" applyAlignment="true" applyProtection="false">
      <alignment horizontal="center" vertical="center" textRotation="0" wrapText="false" indent="0" shrinkToFit="false"/>
      <protection locked="true" hidden="false"/>
    </xf>
    <xf numFmtId="165" fontId="13" fillId="61" borderId="1" xfId="0" applyFont="true" applyBorder="true" applyAlignment="true" applyProtection="false">
      <alignment horizontal="center" vertical="center" textRotation="0" wrapText="false" indent="0" shrinkToFit="false"/>
      <protection locked="true" hidden="false"/>
    </xf>
    <xf numFmtId="165" fontId="13" fillId="62" borderId="1" xfId="0" applyFont="true" applyBorder="true" applyAlignment="true" applyProtection="false">
      <alignment horizontal="center" vertical="center" textRotation="0" wrapText="false" indent="0" shrinkToFit="false"/>
      <protection locked="true" hidden="false"/>
    </xf>
    <xf numFmtId="166" fontId="13" fillId="62" borderId="1" xfId="0" applyFont="true" applyBorder="true" applyAlignment="true" applyProtection="false">
      <alignment horizontal="center" vertical="center" textRotation="0" wrapText="false" indent="0" shrinkToFit="false"/>
      <protection locked="true" hidden="false"/>
    </xf>
    <xf numFmtId="165" fontId="13" fillId="63" borderId="1" xfId="0" applyFont="true" applyBorder="true" applyAlignment="true" applyProtection="false">
      <alignment horizontal="center" vertical="center" textRotation="0" wrapText="false" indent="0" shrinkToFit="false"/>
      <protection locked="true" hidden="false"/>
    </xf>
    <xf numFmtId="165" fontId="13" fillId="64" borderId="1" xfId="0" applyFont="true" applyBorder="true" applyAlignment="true" applyProtection="false">
      <alignment horizontal="center" vertical="center" textRotation="0" wrapText="false" indent="0" shrinkToFit="false"/>
      <protection locked="true" hidden="false"/>
    </xf>
    <xf numFmtId="166" fontId="13" fillId="49" borderId="1" xfId="0" applyFont="true" applyBorder="true" applyAlignment="true" applyProtection="false">
      <alignment horizontal="center" vertical="center" textRotation="0" wrapText="false" indent="0" shrinkToFit="false"/>
      <protection locked="true" hidden="false"/>
    </xf>
    <xf numFmtId="165" fontId="13" fillId="65" borderId="1" xfId="0" applyFont="true" applyBorder="true" applyAlignment="true" applyProtection="false">
      <alignment horizontal="center" vertical="center" textRotation="0" wrapText="false" indent="0" shrinkToFit="false"/>
      <protection locked="true" hidden="false"/>
    </xf>
    <xf numFmtId="165" fontId="13" fillId="66" borderId="1" xfId="0" applyFont="true" applyBorder="true" applyAlignment="true" applyProtection="false">
      <alignment horizontal="center" vertical="center" textRotation="0" wrapText="false" indent="0" shrinkToFit="false"/>
      <protection locked="true" hidden="false"/>
    </xf>
    <xf numFmtId="165" fontId="13" fillId="67" borderId="1" xfId="0" applyFont="true" applyBorder="true" applyAlignment="true" applyProtection="false">
      <alignment horizontal="center" vertical="center" textRotation="0" wrapText="false" indent="0" shrinkToFit="false"/>
      <protection locked="true" hidden="false"/>
    </xf>
    <xf numFmtId="165" fontId="13" fillId="68" borderId="1" xfId="0" applyFont="true" applyBorder="true" applyAlignment="true" applyProtection="false">
      <alignment horizontal="center" vertical="center" textRotation="0" wrapText="false" indent="0" shrinkToFit="false"/>
      <protection locked="true" hidden="false"/>
    </xf>
    <xf numFmtId="166" fontId="13" fillId="68" borderId="1" xfId="0" applyFont="true" applyBorder="true" applyAlignment="true" applyProtection="false">
      <alignment horizontal="center" vertical="center" textRotation="0" wrapText="false" indent="0" shrinkToFit="false"/>
      <protection locked="true" hidden="false"/>
    </xf>
    <xf numFmtId="165" fontId="13" fillId="69" borderId="1" xfId="0" applyFont="true" applyBorder="true" applyAlignment="true" applyProtection="false">
      <alignment horizontal="center" vertical="center" textRotation="0" wrapText="false" indent="0" shrinkToFit="false"/>
      <protection locked="true" hidden="false"/>
    </xf>
    <xf numFmtId="165" fontId="13" fillId="70" borderId="1" xfId="0" applyFont="true" applyBorder="true" applyAlignment="true" applyProtection="false">
      <alignment horizontal="center" vertical="center" textRotation="0" wrapText="false" indent="0" shrinkToFit="false"/>
      <protection locked="true" hidden="false"/>
    </xf>
    <xf numFmtId="166" fontId="13" fillId="71"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left" vertical="top" textRotation="0" wrapText="true" indent="0" shrinkToFit="false"/>
      <protection locked="true" hidden="false"/>
    </xf>
    <xf numFmtId="164" fontId="12" fillId="2"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6" fontId="1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F7F7"/>
      <rgbColor rgb="FFFEE7E7"/>
      <rgbColor rgb="FFFFFCFC"/>
      <rgbColor rgb="FFFDD6D6"/>
      <rgbColor rgb="FFFEF2F2"/>
      <rgbColor rgb="FFC6E8D0"/>
      <rgbColor rgb="FFFFFAFA"/>
      <rgbColor rgb="FFFEF1F1"/>
      <rgbColor rgb="FFFFFEFE"/>
      <rgbColor rgb="FFFCC2C2"/>
      <rgbColor rgb="FFFFF5F5"/>
      <rgbColor rgb="FFFEE7E8"/>
      <rgbColor rgb="FFBFBFBF"/>
      <rgbColor rgb="FFB2E0BF"/>
      <rgbColor rgb="FF98D4A8"/>
      <rgbColor rgb="FFFDD2D3"/>
      <rgbColor rgb="FFFFF2CC"/>
      <rgbColor rgb="FFDEF1E5"/>
      <rgbColor rgb="FFFFF9F9"/>
      <rgbColor rgb="FFF97D7F"/>
      <rgbColor rgb="FFFEEFF0"/>
      <rgbColor rgb="FFD8E5F0"/>
      <rgbColor rgb="FFFEFFFE"/>
      <rgbColor rgb="FFFEF3F3"/>
      <rgbColor rgb="FFFDDADA"/>
      <rgbColor rgb="FFF9FDFA"/>
      <rgbColor rgb="FFFFF6F6"/>
      <rgbColor rgb="FFFFFBFB"/>
      <rgbColor rgb="FFFEE8E8"/>
      <rgbColor rgb="FFFFFDFD"/>
      <rgbColor rgb="FFFDDBDC"/>
      <rgbColor rgb="FFEAF7ED"/>
      <rgbColor rgb="FFD0EDD8"/>
      <rgbColor rgb="FFFEEFEF"/>
      <rgbColor rgb="FFB0C4E7"/>
      <rgbColor rgb="FFFBAAAB"/>
      <rgbColor rgb="FFFBB2B3"/>
      <rgbColor rgb="FFFCC5C5"/>
      <rgbColor rgb="FFFEE0E1"/>
      <rgbColor rgb="FF6DC484"/>
      <rgbColor rgb="FFA6DAB4"/>
      <rgbColor rgb="FFFCBABB"/>
      <rgbColor rgb="FFFCBEBF"/>
      <rgbColor rgb="FFF96B6D"/>
      <rgbColor rgb="FF5478BC"/>
      <rgbColor rgb="FF8DD09E"/>
      <rgbColor rgb="FFFFF8F8"/>
      <rgbColor rgb="FFB8E2C4"/>
      <rgbColor rgb="FFFCFDFC"/>
      <rgbColor rgb="FFFEF4F4"/>
      <rgbColor rgb="FFFEEBEC"/>
      <rgbColor rgb="FFFEE6E6"/>
      <rgbColor rgb="FF1F4E78"/>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Raw Selectivity Gap (size-confounded)</a:t>
            </a:r>
          </a:p>
        </c:rich>
      </c:tx>
      <c:overlay val="0"/>
      <c:spPr>
        <a:noFill/>
        <a:ln w="0">
          <a:noFill/>
        </a:ln>
      </c:spPr>
    </c:title>
    <c:autoTitleDeleted val="0"/>
    <c:plotArea>
      <c:barChart>
        <c:barDir val="bar"/>
        <c:grouping val="clustered"/>
        <c:varyColors val="0"/>
        <c:ser>
          <c:idx val="0"/>
          <c:order val="0"/>
          <c:tx>
            <c:strRef>
              <c:f>'Selectivity Chart'!B3</c:f>
              <c:strCache>
                <c:ptCount val="1"/>
                <c:pt idx="0">
                  <c:v>Raw Selectivity Gap</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'Selectivity Chart'!$A$4:$A$19</c:f>
              <c:strCache>
                <c:ptCount val="16"/>
                <c:pt idx="0">
                  <c:v>Ralmitaront</c:v>
                </c:pt>
                <c:pt idx="1">
                  <c:v>Ulotaront</c:v>
                </c:pt>
                <c:pt idx="2">
                  <c:v>Methamphetamine</c:v>
                </c:pt>
                <c:pt idx="3">
                  <c:v>Amphetamine</c:v>
                </c:pt>
                <c:pt idx="4">
                  <c:v>Tyramine</c:v>
                </c:pt>
                <c:pt idx="5">
                  <c:v>beta-Phenylethylamine</c:v>
                </c:pt>
                <c:pt idx="6">
                  <c:v>Guanabenz</c:v>
                </c:pt>
                <c:pt idx="7">
                  <c:v>Guanfacine</c:v>
                </c:pt>
                <c:pt idx="8">
                  <c:v>Fenoldopam</c:v>
                </c:pt>
                <c:pt idx="9">
                  <c:v>Risperidone</c:v>
                </c:pt>
                <c:pt idx="10">
                  <c:v>Haloperidol</c:v>
                </c:pt>
                <c:pt idx="11">
                  <c:v>Clozapine</c:v>
                </c:pt>
                <c:pt idx="12">
                  <c:v>Asenapine</c:v>
                </c:pt>
                <c:pt idx="13">
                  <c:v>Aripiprazole</c:v>
                </c:pt>
                <c:pt idx="14">
                  <c:v>Quetiapine</c:v>
                </c:pt>
                <c:pt idx="15">
                  <c:v>Olanzapine</c:v>
                </c:pt>
              </c:strCache>
            </c:strRef>
          </c:cat>
          <c:val>
            <c:numRef>
              <c:f>'Selectivity Chart'!$B$4:$B$19</c:f>
              <c:numCache>
                <c:formatCode>0.000</c:formatCode>
                <c:ptCount val="16"/>
                <c:pt idx="0">
                  <c:v>0.727333333333334</c:v>
                </c:pt>
                <c:pt idx="1">
                  <c:v>0.584000000000001</c:v>
                </c:pt>
                <c:pt idx="2">
                  <c:v>0.233666666666667</c:v>
                </c:pt>
                <c:pt idx="3">
                  <c:v>0.265333333333333</c:v>
                </c:pt>
                <c:pt idx="4">
                  <c:v>0.306333333333334</c:v>
                </c:pt>
                <c:pt idx="5">
                  <c:v>0.356666666666666</c:v>
                </c:pt>
                <c:pt idx="6">
                  <c:v>0.206</c:v>
                </c:pt>
                <c:pt idx="7">
                  <c:v>0.388666666666667</c:v>
                </c:pt>
                <c:pt idx="8">
                  <c:v>0.521</c:v>
                </c:pt>
                <c:pt idx="9">
                  <c:v>1.16733333333333</c:v>
                </c:pt>
                <c:pt idx="10">
                  <c:v>0.199</c:v>
                </c:pt>
                <c:pt idx="11">
                  <c:v>-0.170333333333334</c:v>
                </c:pt>
                <c:pt idx="12">
                  <c:v>-0.0676666666666677</c:v>
                </c:pt>
                <c:pt idx="13">
                  <c:v>1.29433333333333</c:v>
                </c:pt>
                <c:pt idx="14">
                  <c:v>0.666333333333334</c:v>
                </c:pt>
                <c:pt idx="15">
                  <c:v>0.271666666666667</c:v>
                </c:pt>
              </c:numCache>
            </c:numRef>
          </c:val>
        </c:ser>
        <c:gapWidth val="150"/>
        <c:overlap val="0"/>
        <c:axId val="55382155"/>
        <c:axId val="63629242"/>
      </c:barChart>
      <c:catAx>
        <c:axId val="55382155"/>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Gap (kcal/mol)</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629242"/>
        <c:crosses val="autoZero"/>
        <c:auto val="1"/>
        <c:lblAlgn val="ctr"/>
        <c:lblOffset val="100"/>
        <c:noMultiLvlLbl val="0"/>
      </c:catAx>
      <c:valAx>
        <c:axId val="63629242"/>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Compound</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38215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LE Selectivity Gap (size-corrected, trustworthy)</a:t>
            </a:r>
          </a:p>
        </c:rich>
      </c:tx>
      <c:overlay val="0"/>
      <c:spPr>
        <a:noFill/>
        <a:ln w="0">
          <a:noFill/>
        </a:ln>
      </c:spPr>
    </c:title>
    <c:autoTitleDeleted val="0"/>
    <c:plotArea>
      <c:barChart>
        <c:barDir val="bar"/>
        <c:grouping val="clustered"/>
        <c:varyColors val="0"/>
        <c:ser>
          <c:idx val="0"/>
          <c:order val="0"/>
          <c:tx>
            <c:strRef>
              <c:f>'Selectivity Chart'!C3</c:f>
              <c:strCache>
                <c:ptCount val="1"/>
                <c:pt idx="0">
                  <c:v>LE Selectivity Gap</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'Selectivity Chart'!$A$4:$A$19</c:f>
              <c:strCache>
                <c:ptCount val="16"/>
                <c:pt idx="0">
                  <c:v>Ralmitaront</c:v>
                </c:pt>
                <c:pt idx="1">
                  <c:v>Ulotaront</c:v>
                </c:pt>
                <c:pt idx="2">
                  <c:v>Methamphetamine</c:v>
                </c:pt>
                <c:pt idx="3">
                  <c:v>Amphetamine</c:v>
                </c:pt>
                <c:pt idx="4">
                  <c:v>Tyramine</c:v>
                </c:pt>
                <c:pt idx="5">
                  <c:v>beta-Phenylethylamine</c:v>
                </c:pt>
                <c:pt idx="6">
                  <c:v>Guanabenz</c:v>
                </c:pt>
                <c:pt idx="7">
                  <c:v>Guanfacine</c:v>
                </c:pt>
                <c:pt idx="8">
                  <c:v>Fenoldopam</c:v>
                </c:pt>
                <c:pt idx="9">
                  <c:v>Risperidone</c:v>
                </c:pt>
                <c:pt idx="10">
                  <c:v>Haloperidol</c:v>
                </c:pt>
                <c:pt idx="11">
                  <c:v>Clozapine</c:v>
                </c:pt>
                <c:pt idx="12">
                  <c:v>Asenapine</c:v>
                </c:pt>
                <c:pt idx="13">
                  <c:v>Aripiprazole</c:v>
                </c:pt>
                <c:pt idx="14">
                  <c:v>Quetiapine</c:v>
                </c:pt>
                <c:pt idx="15">
                  <c:v>Olanzapine</c:v>
                </c:pt>
              </c:strCache>
            </c:strRef>
          </c:cat>
          <c:val>
            <c:numRef>
              <c:f>'Selectivity Chart'!$C$4:$C$19</c:f>
              <c:numCache>
                <c:formatCode>0.0000</c:formatCode>
                <c:ptCount val="16"/>
                <c:pt idx="0">
                  <c:v>0.0316231884057971</c:v>
                </c:pt>
                <c:pt idx="1">
                  <c:v>0.0486666666666668</c:v>
                </c:pt>
                <c:pt idx="2">
                  <c:v>0.0212424242424243</c:v>
                </c:pt>
                <c:pt idx="3">
                  <c:v>0.0265333333333334</c:v>
                </c:pt>
                <c:pt idx="4">
                  <c:v>0.0306333333333333</c:v>
                </c:pt>
                <c:pt idx="5">
                  <c:v>0.0396296296296297</c:v>
                </c:pt>
                <c:pt idx="6">
                  <c:v>0.0147142857142857</c:v>
                </c:pt>
                <c:pt idx="7">
                  <c:v>0.0259111111111112</c:v>
                </c:pt>
                <c:pt idx="8">
                  <c:v>0.0226521739130435</c:v>
                </c:pt>
                <c:pt idx="9">
                  <c:v>0.0389111111111111</c:v>
                </c:pt>
                <c:pt idx="10">
                  <c:v>0.00765384615384612</c:v>
                </c:pt>
                <c:pt idx="11">
                  <c:v>-0.00740579710144929</c:v>
                </c:pt>
                <c:pt idx="12">
                  <c:v>-0.00338333333333341</c:v>
                </c:pt>
                <c:pt idx="13">
                  <c:v>0.0431444444444444</c:v>
                </c:pt>
                <c:pt idx="14">
                  <c:v>0.024679012345679</c:v>
                </c:pt>
                <c:pt idx="15">
                  <c:v>0.0123484848484848</c:v>
                </c:pt>
              </c:numCache>
            </c:numRef>
          </c:val>
        </c:ser>
        <c:gapWidth val="150"/>
        <c:overlap val="0"/>
        <c:axId val="48061251"/>
        <c:axId val="69641148"/>
      </c:barChart>
      <c:catAx>
        <c:axId val="48061251"/>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Gap (LE units)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641148"/>
        <c:crosses val="autoZero"/>
        <c:auto val="1"/>
        <c:lblAlgn val="ctr"/>
        <c:lblOffset val="100"/>
        <c:noMultiLvlLbl val="0"/>
      </c:catAx>
      <c:valAx>
        <c:axId val="69641148"/>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Compound</a:t>
                </a:r>
              </a:p>
            </c:rich>
          </c:tx>
          <c:overlay val="0"/>
          <c:spPr>
            <a:noFill/>
            <a:ln w="0">
              <a:noFill/>
            </a:ln>
          </c:spPr>
        </c:title>
        <c:numFmt formatCode="0.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06125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xdr:row>
      <xdr:rowOff>145440</xdr:rowOff>
    </xdr:from>
    <xdr:to>
      <xdr:col>13</xdr:col>
      <xdr:colOff>254880</xdr:colOff>
      <xdr:row>28</xdr:row>
      <xdr:rowOff>40320</xdr:rowOff>
    </xdr:to>
    <xdr:graphicFrame>
      <xdr:nvGraphicFramePr>
        <xdr:cNvPr id="0" name="Chart 1"/>
        <xdr:cNvGraphicFramePr/>
      </xdr:nvGraphicFramePr>
      <xdr:xfrm>
        <a:off x="4981680" y="374040"/>
        <a:ext cx="5758200" cy="503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26</xdr:row>
      <xdr:rowOff>145440</xdr:rowOff>
    </xdr:from>
    <xdr:to>
      <xdr:col>13</xdr:col>
      <xdr:colOff>254880</xdr:colOff>
      <xdr:row>53</xdr:row>
      <xdr:rowOff>40680</xdr:rowOff>
    </xdr:to>
    <xdr:graphicFrame>
      <xdr:nvGraphicFramePr>
        <xdr:cNvPr id="1" name="Chart 2"/>
        <xdr:cNvGraphicFramePr/>
      </xdr:nvGraphicFramePr>
      <xdr:xfrm>
        <a:off x="4981680" y="5136480"/>
        <a:ext cx="5758200" cy="503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1" width="130"/>
  </cols>
  <sheetData>
    <row r="1" customFormat="false" ht="21.75" hidden="false" customHeight="true" outlineLevel="0" collapsed="false">
      <c r="A1" s="2" t="s">
        <v>0</v>
      </c>
      <c r="B1" s="2"/>
      <c r="C1" s="2"/>
      <c r="D1" s="2"/>
      <c r="E1" s="2"/>
      <c r="F1" s="2"/>
    </row>
    <row r="2" customFormat="false" ht="15" hidden="false" customHeight="true" outlineLevel="0" collapsed="false">
      <c r="A2" s="3" t="s">
        <v>1</v>
      </c>
      <c r="B2" s="3"/>
      <c r="C2" s="3"/>
      <c r="D2" s="3"/>
      <c r="E2" s="3"/>
      <c r="F2" s="3"/>
    </row>
    <row r="3" customFormat="false" ht="15" hidden="false" customHeight="true" outlineLevel="0" collapsed="false">
      <c r="A3" s="4"/>
      <c r="B3" s="4"/>
      <c r="C3" s="4"/>
      <c r="D3" s="4"/>
      <c r="E3" s="4"/>
      <c r="F3" s="4"/>
    </row>
    <row r="4" customFormat="false" ht="15" hidden="false" customHeight="true" outlineLevel="0" collapsed="false">
      <c r="A4" s="5" t="s">
        <v>2</v>
      </c>
      <c r="B4" s="5"/>
      <c r="C4" s="5"/>
      <c r="D4" s="5"/>
      <c r="E4" s="5"/>
      <c r="F4" s="5"/>
    </row>
    <row r="5" customFormat="false" ht="60" hidden="false" customHeight="true" outlineLevel="0" collapsed="false">
      <c r="A5" s="6" t="s">
        <v>3</v>
      </c>
      <c r="B5" s="6"/>
      <c r="C5" s="6"/>
      <c r="D5" s="6"/>
      <c r="E5" s="6"/>
      <c r="F5" s="6"/>
    </row>
    <row r="6" customFormat="false" ht="15" hidden="false" customHeight="true" outlineLevel="0" collapsed="false">
      <c r="A6" s="4"/>
      <c r="B6" s="4"/>
      <c r="C6" s="4"/>
      <c r="D6" s="4"/>
      <c r="E6" s="4"/>
      <c r="F6" s="4"/>
    </row>
    <row r="7" customFormat="false" ht="15" hidden="false" customHeight="true" outlineLevel="0" collapsed="false">
      <c r="A7" s="7" t="s">
        <v>4</v>
      </c>
      <c r="B7" s="7"/>
      <c r="C7" s="7"/>
      <c r="D7" s="7"/>
      <c r="E7" s="7"/>
      <c r="F7" s="7"/>
    </row>
    <row r="8" customFormat="false" ht="94.5" hidden="false" customHeight="true" outlineLevel="0" collapsed="false">
      <c r="A8" s="8" t="s">
        <v>5</v>
      </c>
      <c r="B8" s="8"/>
      <c r="C8" s="8"/>
      <c r="D8" s="8"/>
      <c r="E8" s="8"/>
      <c r="F8" s="8"/>
    </row>
    <row r="9" customFormat="false" ht="15" hidden="false" customHeight="true" outlineLevel="0" collapsed="false">
      <c r="A9" s="4"/>
      <c r="B9" s="4"/>
      <c r="C9" s="4"/>
      <c r="D9" s="4"/>
      <c r="E9" s="4"/>
      <c r="F9" s="4"/>
    </row>
    <row r="10" customFormat="false" ht="15" hidden="false" customHeight="true" outlineLevel="0" collapsed="false">
      <c r="A10" s="7" t="s">
        <v>6</v>
      </c>
      <c r="B10" s="7"/>
      <c r="C10" s="7"/>
      <c r="D10" s="7"/>
      <c r="E10" s="7"/>
      <c r="F10" s="7"/>
    </row>
    <row r="11" customFormat="false" ht="94.5" hidden="false" customHeight="true" outlineLevel="0" collapsed="false">
      <c r="A11" s="8" t="s">
        <v>7</v>
      </c>
      <c r="B11" s="8"/>
      <c r="C11" s="8"/>
      <c r="D11" s="8"/>
      <c r="E11" s="8"/>
      <c r="F11" s="8"/>
    </row>
    <row r="12" customFormat="false" ht="15" hidden="false" customHeight="true" outlineLevel="0" collapsed="false">
      <c r="A12" s="4"/>
      <c r="B12" s="4"/>
      <c r="C12" s="4"/>
      <c r="D12" s="4"/>
      <c r="E12" s="4"/>
      <c r="F12" s="4"/>
    </row>
    <row r="13" customFormat="false" ht="15" hidden="false" customHeight="true" outlineLevel="0" collapsed="false">
      <c r="A13" s="7" t="s">
        <v>8</v>
      </c>
      <c r="B13" s="7"/>
      <c r="C13" s="7"/>
      <c r="D13" s="7"/>
      <c r="E13" s="7"/>
      <c r="F13" s="7"/>
    </row>
    <row r="14" customFormat="false" ht="94.5" hidden="false" customHeight="true" outlineLevel="0" collapsed="false">
      <c r="A14" s="8" t="s">
        <v>9</v>
      </c>
      <c r="B14" s="8"/>
      <c r="C14" s="8"/>
      <c r="D14" s="8"/>
      <c r="E14" s="8"/>
      <c r="F14" s="8"/>
    </row>
    <row r="15" customFormat="false" ht="15" hidden="false" customHeight="true" outlineLevel="0" collapsed="false">
      <c r="A15" s="4"/>
      <c r="B15" s="4"/>
      <c r="C15" s="4"/>
      <c r="D15" s="4"/>
      <c r="E15" s="4"/>
      <c r="F15" s="4"/>
    </row>
    <row r="16" customFormat="false" ht="15" hidden="false" customHeight="true" outlineLevel="0" collapsed="false">
      <c r="A16" s="7" t="s">
        <v>10</v>
      </c>
      <c r="B16" s="7"/>
      <c r="C16" s="7"/>
      <c r="D16" s="7"/>
      <c r="E16" s="7"/>
      <c r="F16" s="7"/>
    </row>
    <row r="17" customFormat="false" ht="94.5" hidden="false" customHeight="true" outlineLevel="0" collapsed="false">
      <c r="A17" s="8" t="s">
        <v>11</v>
      </c>
      <c r="B17" s="8"/>
      <c r="C17" s="8"/>
      <c r="D17" s="8"/>
      <c r="E17" s="8"/>
      <c r="F17" s="8"/>
    </row>
    <row r="18" customFormat="false" ht="15" hidden="false" customHeight="true" outlineLevel="0" collapsed="false">
      <c r="A18" s="4"/>
      <c r="B18" s="4"/>
      <c r="C18" s="4"/>
      <c r="D18" s="4"/>
      <c r="E18" s="4"/>
      <c r="F18" s="4"/>
    </row>
    <row r="19" customFormat="false" ht="15" hidden="false" customHeight="true" outlineLevel="0" collapsed="false">
      <c r="A19" s="7" t="s">
        <v>12</v>
      </c>
      <c r="B19" s="7"/>
      <c r="C19" s="7"/>
      <c r="D19" s="7"/>
      <c r="E19" s="7"/>
      <c r="F19" s="7"/>
    </row>
    <row r="20" customFormat="false" ht="94.5" hidden="false" customHeight="true" outlineLevel="0" collapsed="false">
      <c r="A20" s="8" t="s">
        <v>13</v>
      </c>
      <c r="B20" s="8"/>
      <c r="C20" s="8"/>
      <c r="D20" s="8"/>
      <c r="E20" s="8"/>
      <c r="F20" s="8"/>
    </row>
    <row r="21" customFormat="false" ht="15" hidden="false" customHeight="true" outlineLevel="0" collapsed="false">
      <c r="A21" s="4"/>
      <c r="B21" s="4"/>
      <c r="C21" s="4"/>
      <c r="D21" s="4"/>
      <c r="E21" s="4"/>
      <c r="F21" s="4"/>
    </row>
    <row r="22" customFormat="false" ht="15" hidden="false" customHeight="true" outlineLevel="0" collapsed="false">
      <c r="A22" s="7" t="s">
        <v>14</v>
      </c>
      <c r="B22" s="7"/>
      <c r="C22" s="7"/>
      <c r="D22" s="7"/>
      <c r="E22" s="7"/>
      <c r="F22" s="7"/>
    </row>
    <row r="23" customFormat="false" ht="94.5" hidden="false" customHeight="true" outlineLevel="0" collapsed="false">
      <c r="A23" s="8" t="s">
        <v>15</v>
      </c>
      <c r="B23" s="8"/>
      <c r="C23" s="8"/>
      <c r="D23" s="8"/>
      <c r="E23" s="8"/>
      <c r="F23" s="8"/>
    </row>
    <row r="24" customFormat="false" ht="15" hidden="false" customHeight="true" outlineLevel="0" collapsed="false">
      <c r="A24" s="4"/>
      <c r="B24" s="4"/>
      <c r="C24" s="4"/>
      <c r="D24" s="4"/>
      <c r="E24" s="4"/>
      <c r="F24" s="4"/>
    </row>
    <row r="25" customFormat="false" ht="15" hidden="false" customHeight="true" outlineLevel="0" collapsed="false">
      <c r="A25" s="7" t="s">
        <v>16</v>
      </c>
      <c r="B25" s="7"/>
      <c r="C25" s="7"/>
      <c r="D25" s="7"/>
      <c r="E25" s="7"/>
      <c r="F25" s="7"/>
    </row>
    <row r="26" customFormat="false" ht="94.5" hidden="false" customHeight="true" outlineLevel="0" collapsed="false">
      <c r="A26" s="8" t="s">
        <v>17</v>
      </c>
      <c r="B26" s="8"/>
      <c r="C26" s="8"/>
      <c r="D26" s="8"/>
      <c r="E26" s="8"/>
      <c r="F26" s="8"/>
    </row>
  </sheetData>
  <mergeCells count="26">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26"/>
    <col collapsed="false" customWidth="true" hidden="false" outlineLevel="0" max="6" min="3" style="1" width="13"/>
    <col collapsed="false" customWidth="true" hidden="false" outlineLevel="0" max="8" min="7" style="1" width="11"/>
    <col collapsed="false" customWidth="true" hidden="false" outlineLevel="0" max="9" min="9" style="1" width="12"/>
    <col collapsed="false" customWidth="true" hidden="false" outlineLevel="0" max="10" min="10" style="1" width="14"/>
    <col collapsed="false" customWidth="true" hidden="false" outlineLevel="0" max="11" min="11" style="1" width="10"/>
    <col collapsed="false" customWidth="true" hidden="false" outlineLevel="0" max="13" min="12" style="1" width="13"/>
    <col collapsed="false" customWidth="true" hidden="false" outlineLevel="0" max="14" min="14" style="1" width="55"/>
  </cols>
  <sheetData>
    <row r="1" customFormat="false" ht="18" hidden="false" customHeight="true" outlineLevel="0" collapsed="false">
      <c r="A1" s="9" t="s">
        <v>18</v>
      </c>
      <c r="B1" s="9"/>
      <c r="C1" s="9"/>
      <c r="D1" s="9"/>
      <c r="E1" s="9"/>
      <c r="F1" s="9"/>
      <c r="G1" s="9"/>
      <c r="H1" s="9"/>
      <c r="I1" s="9"/>
      <c r="J1" s="9"/>
    </row>
    <row r="2" customFormat="false" ht="15" hidden="false" customHeight="true" outlineLevel="0" collapsed="false">
      <c r="A2" s="10" t="s">
        <v>19</v>
      </c>
      <c r="B2" s="10"/>
      <c r="C2" s="10"/>
      <c r="D2" s="10"/>
      <c r="E2" s="10"/>
      <c r="F2" s="10"/>
      <c r="G2" s="10"/>
      <c r="H2" s="10"/>
      <c r="I2" s="10"/>
      <c r="J2" s="10"/>
    </row>
    <row r="4" customFormat="false" ht="39.75" hidden="false" customHeight="true" outlineLevel="0" collapsed="false">
      <c r="A4" s="11" t="s">
        <v>20</v>
      </c>
      <c r="B4" s="11" t="s">
        <v>21</v>
      </c>
      <c r="C4" s="11" t="s">
        <v>22</v>
      </c>
      <c r="D4" s="11" t="s">
        <v>23</v>
      </c>
      <c r="E4" s="11" t="s">
        <v>24</v>
      </c>
      <c r="F4" s="11" t="s">
        <v>25</v>
      </c>
      <c r="G4" s="11" t="s">
        <v>26</v>
      </c>
      <c r="H4" s="11" t="s">
        <v>27</v>
      </c>
      <c r="I4" s="11" t="s">
        <v>28</v>
      </c>
      <c r="J4" s="11" t="s">
        <v>29</v>
      </c>
      <c r="K4" s="11" t="s">
        <v>30</v>
      </c>
      <c r="L4" s="11" t="s">
        <v>31</v>
      </c>
      <c r="M4" s="11" t="s">
        <v>32</v>
      </c>
      <c r="N4" s="11" t="s">
        <v>33</v>
      </c>
    </row>
    <row r="5" customFormat="false" ht="23.25" hidden="false" customHeight="true" outlineLevel="0" collapsed="false">
      <c r="A5" s="12" t="s">
        <v>34</v>
      </c>
      <c r="B5" s="12" t="s">
        <v>35</v>
      </c>
      <c r="C5" s="13" t="n">
        <v>-8.359</v>
      </c>
      <c r="D5" s="14" t="n">
        <v>-4.069</v>
      </c>
      <c r="E5" s="13" t="n">
        <v>-8.313</v>
      </c>
      <c r="F5" s="15" t="n">
        <v>-9.485</v>
      </c>
      <c r="G5" s="15" t="n">
        <v>-9.461</v>
      </c>
      <c r="H5" s="16" t="n">
        <v>23</v>
      </c>
      <c r="I5" s="17" t="n">
        <f aca="false">AVERAGE(E5:G5)</f>
        <v>-9.08633333333333</v>
      </c>
      <c r="J5" s="18" t="n">
        <f aca="false">C5-I5</f>
        <v>0.727333333333334</v>
      </c>
      <c r="K5" s="19" t="n">
        <f aca="false">C5/H5</f>
        <v>-0.363434782608696</v>
      </c>
      <c r="L5" s="19" t="n">
        <f aca="false">I5/H5</f>
        <v>-0.395057971014493</v>
      </c>
      <c r="M5" s="20" t="n">
        <f aca="false">K5-L5</f>
        <v>0.0316231884057971</v>
      </c>
      <c r="N5" s="21" t="s">
        <v>36</v>
      </c>
    </row>
    <row r="6" customFormat="false" ht="34.5" hidden="false" customHeight="true" outlineLevel="0" collapsed="false">
      <c r="A6" s="22" t="s">
        <v>37</v>
      </c>
      <c r="B6" s="22" t="s">
        <v>35</v>
      </c>
      <c r="C6" s="23" t="n">
        <v>-4.983</v>
      </c>
      <c r="D6" s="24" t="n">
        <v>-6.089</v>
      </c>
      <c r="E6" s="25" t="n">
        <v>-5.806</v>
      </c>
      <c r="F6" s="26" t="n">
        <v>-5.472</v>
      </c>
      <c r="G6" s="27" t="n">
        <v>-5.423</v>
      </c>
      <c r="H6" s="28" t="n">
        <v>12</v>
      </c>
      <c r="I6" s="29" t="n">
        <f aca="false">AVERAGE(E6:G6)</f>
        <v>-5.567</v>
      </c>
      <c r="J6" s="30" t="n">
        <f aca="false">C6-I6</f>
        <v>0.584000000000001</v>
      </c>
      <c r="K6" s="31" t="n">
        <f aca="false">C6/H6</f>
        <v>-0.41525</v>
      </c>
      <c r="L6" s="31" t="n">
        <f aca="false">I6/H6</f>
        <v>-0.463916666666667</v>
      </c>
      <c r="M6" s="32" t="n">
        <f aca="false">K6-L6</f>
        <v>0.0486666666666668</v>
      </c>
      <c r="N6" s="33" t="s">
        <v>38</v>
      </c>
    </row>
    <row r="7" customFormat="false" ht="15" hidden="false" customHeight="true" outlineLevel="0" collapsed="false">
      <c r="A7" s="34" t="s">
        <v>39</v>
      </c>
      <c r="B7" s="34" t="s">
        <v>40</v>
      </c>
      <c r="C7" s="35" t="n">
        <v>-6.005</v>
      </c>
      <c r="D7" s="36" t="n">
        <v>-5.961</v>
      </c>
      <c r="E7" s="24" t="n">
        <v>-6.094</v>
      </c>
      <c r="F7" s="37" t="n">
        <v>-6.337</v>
      </c>
      <c r="G7" s="38" t="n">
        <v>-6.285</v>
      </c>
      <c r="H7" s="39" t="n">
        <v>11</v>
      </c>
      <c r="I7" s="40" t="n">
        <f aca="false">AVERAGE(E7:G7)</f>
        <v>-6.23866666666667</v>
      </c>
      <c r="J7" s="41" t="n">
        <f aca="false">C7-I7</f>
        <v>0.233666666666667</v>
      </c>
      <c r="K7" s="42" t="n">
        <f aca="false">C7/H7</f>
        <v>-0.545909090909091</v>
      </c>
      <c r="L7" s="42" t="n">
        <f aca="false">I7/H7</f>
        <v>-0.567151515151515</v>
      </c>
      <c r="M7" s="43" t="n">
        <f aca="false">K7-L7</f>
        <v>0.0212424242424243</v>
      </c>
      <c r="N7" s="44"/>
    </row>
    <row r="8" customFormat="false" ht="15" hidden="false" customHeight="true" outlineLevel="0" collapsed="false">
      <c r="A8" s="34" t="s">
        <v>41</v>
      </c>
      <c r="B8" s="34" t="s">
        <v>42</v>
      </c>
      <c r="C8" s="25" t="n">
        <v>-5.813</v>
      </c>
      <c r="D8" s="45" t="n">
        <v>-5.747</v>
      </c>
      <c r="E8" s="45" t="n">
        <v>-5.727</v>
      </c>
      <c r="F8" s="46" t="n">
        <v>-6.209</v>
      </c>
      <c r="G8" s="38" t="n">
        <v>-6.299</v>
      </c>
      <c r="H8" s="39" t="n">
        <v>10</v>
      </c>
      <c r="I8" s="40" t="n">
        <f aca="false">AVERAGE(E8:G8)</f>
        <v>-6.07833333333333</v>
      </c>
      <c r="J8" s="14" t="n">
        <f aca="false">C8-I8</f>
        <v>0.265333333333333</v>
      </c>
      <c r="K8" s="42" t="n">
        <f aca="false">C8/H8</f>
        <v>-0.5813</v>
      </c>
      <c r="L8" s="42" t="n">
        <f aca="false">I8/H8</f>
        <v>-0.607833333333333</v>
      </c>
      <c r="M8" s="47" t="n">
        <f aca="false">K8-L8</f>
        <v>0.0265333333333334</v>
      </c>
      <c r="N8" s="44"/>
    </row>
    <row r="9" customFormat="false" ht="15" hidden="false" customHeight="true" outlineLevel="0" collapsed="false">
      <c r="A9" s="34" t="s">
        <v>43</v>
      </c>
      <c r="B9" s="34" t="s">
        <v>42</v>
      </c>
      <c r="C9" s="48" t="n">
        <v>-5.599</v>
      </c>
      <c r="D9" s="49" t="n">
        <v>-5.894</v>
      </c>
      <c r="E9" s="45" t="n">
        <v>-5.703</v>
      </c>
      <c r="F9" s="49" t="n">
        <v>-5.867</v>
      </c>
      <c r="G9" s="24" t="n">
        <v>-6.146</v>
      </c>
      <c r="H9" s="39" t="n">
        <v>10</v>
      </c>
      <c r="I9" s="40" t="n">
        <f aca="false">AVERAGE(E9:G9)</f>
        <v>-5.90533333333333</v>
      </c>
      <c r="J9" s="50" t="n">
        <f aca="false">C9-I9</f>
        <v>0.306333333333334</v>
      </c>
      <c r="K9" s="42" t="n">
        <f aca="false">C9/H9</f>
        <v>-0.5599</v>
      </c>
      <c r="L9" s="42" t="n">
        <f aca="false">I9/H9</f>
        <v>-0.590533333333333</v>
      </c>
      <c r="M9" s="20" t="n">
        <f aca="false">K9-L9</f>
        <v>0.0306333333333333</v>
      </c>
      <c r="N9" s="44"/>
    </row>
    <row r="10" customFormat="false" ht="15" hidden="false" customHeight="true" outlineLevel="0" collapsed="false">
      <c r="A10" s="34" t="s">
        <v>44</v>
      </c>
      <c r="B10" s="34" t="s">
        <v>42</v>
      </c>
      <c r="C10" s="51" t="n">
        <v>-5.297</v>
      </c>
      <c r="D10" s="52" t="n">
        <v>-5.622</v>
      </c>
      <c r="E10" s="53" t="n">
        <v>-5.29</v>
      </c>
      <c r="F10" s="25" t="n">
        <v>-5.837</v>
      </c>
      <c r="G10" s="25" t="n">
        <v>-5.834</v>
      </c>
      <c r="H10" s="39" t="n">
        <v>9</v>
      </c>
      <c r="I10" s="40" t="n">
        <f aca="false">AVERAGE(E10:G10)</f>
        <v>-5.65366666666667</v>
      </c>
      <c r="J10" s="54" t="n">
        <f aca="false">C10-I10</f>
        <v>0.356666666666666</v>
      </c>
      <c r="K10" s="42" t="n">
        <f aca="false">C10/H10</f>
        <v>-0.588555555555556</v>
      </c>
      <c r="L10" s="42" t="n">
        <f aca="false">I10/H10</f>
        <v>-0.628185185185185</v>
      </c>
      <c r="M10" s="55" t="n">
        <f aca="false">K10-L10</f>
        <v>0.0396296296296297</v>
      </c>
      <c r="N10" s="44"/>
    </row>
    <row r="11" customFormat="false" ht="15" hidden="false" customHeight="true" outlineLevel="0" collapsed="false">
      <c r="A11" s="34" t="s">
        <v>45</v>
      </c>
      <c r="B11" s="34" t="s">
        <v>46</v>
      </c>
      <c r="C11" s="56" t="n">
        <v>-6.535</v>
      </c>
      <c r="D11" s="52" t="n">
        <v>-5.669</v>
      </c>
      <c r="E11" s="57" t="n">
        <v>-7.159</v>
      </c>
      <c r="F11" s="58" t="n">
        <v>-6.652</v>
      </c>
      <c r="G11" s="59" t="n">
        <v>-6.412</v>
      </c>
      <c r="H11" s="39" t="n">
        <v>14</v>
      </c>
      <c r="I11" s="40" t="n">
        <f aca="false">AVERAGE(E11:G11)</f>
        <v>-6.741</v>
      </c>
      <c r="J11" s="60" t="n">
        <f aca="false">C11-I11</f>
        <v>0.206</v>
      </c>
      <c r="K11" s="42" t="n">
        <f aca="false">C11/H11</f>
        <v>-0.466785714285714</v>
      </c>
      <c r="L11" s="42" t="n">
        <f aca="false">I11/H11</f>
        <v>-0.4815</v>
      </c>
      <c r="M11" s="61" t="n">
        <f aca="false">K11-L11</f>
        <v>0.0147142857142857</v>
      </c>
      <c r="N11" s="44"/>
    </row>
    <row r="12" customFormat="false" ht="15" hidden="false" customHeight="true" outlineLevel="0" collapsed="false">
      <c r="A12" s="34" t="s">
        <v>47</v>
      </c>
      <c r="B12" s="34" t="s">
        <v>46</v>
      </c>
      <c r="C12" s="62" t="n">
        <v>-6.502</v>
      </c>
      <c r="D12" s="26" t="n">
        <v>-5.513</v>
      </c>
      <c r="E12" s="57" t="n">
        <v>-7.157</v>
      </c>
      <c r="F12" s="63" t="n">
        <v>-6.778</v>
      </c>
      <c r="G12" s="63" t="n">
        <v>-6.737</v>
      </c>
      <c r="H12" s="39" t="n">
        <v>15</v>
      </c>
      <c r="I12" s="40" t="n">
        <f aca="false">AVERAGE(E12:G12)</f>
        <v>-6.89066666666667</v>
      </c>
      <c r="J12" s="64" t="n">
        <f aca="false">C12-I12</f>
        <v>0.388666666666667</v>
      </c>
      <c r="K12" s="42" t="n">
        <f aca="false">C12/H12</f>
        <v>-0.433466666666667</v>
      </c>
      <c r="L12" s="42" t="n">
        <f aca="false">I12/H12</f>
        <v>-0.459377777777778</v>
      </c>
      <c r="M12" s="65" t="n">
        <f aca="false">K12-L12</f>
        <v>0.0259111111111112</v>
      </c>
      <c r="N12" s="44"/>
    </row>
    <row r="13" customFormat="false" ht="15" hidden="false" customHeight="true" outlineLevel="0" collapsed="false">
      <c r="A13" s="34" t="s">
        <v>48</v>
      </c>
      <c r="B13" s="34" t="s">
        <v>46</v>
      </c>
      <c r="C13" s="24" t="n">
        <v>-6.096</v>
      </c>
      <c r="D13" s="66" t="n">
        <v>-2.079</v>
      </c>
      <c r="E13" s="63" t="n">
        <v>-6.725</v>
      </c>
      <c r="F13" s="67" t="n">
        <v>-7.319</v>
      </c>
      <c r="G13" s="25" t="n">
        <v>-5.807</v>
      </c>
      <c r="H13" s="39" t="n">
        <v>23</v>
      </c>
      <c r="I13" s="40" t="n">
        <f aca="false">AVERAGE(E13:G13)</f>
        <v>-6.617</v>
      </c>
      <c r="J13" s="68" t="n">
        <f aca="false">C13-I13</f>
        <v>0.521</v>
      </c>
      <c r="K13" s="42" t="n">
        <f aca="false">C13/H13</f>
        <v>-0.26504347826087</v>
      </c>
      <c r="L13" s="42" t="n">
        <f aca="false">I13/H13</f>
        <v>-0.287695652173913</v>
      </c>
      <c r="M13" s="69" t="n">
        <f aca="false">K13-L13</f>
        <v>0.0226521739130435</v>
      </c>
      <c r="N13" s="44" t="s">
        <v>49</v>
      </c>
    </row>
    <row r="14" customFormat="false" ht="15" hidden="false" customHeight="true" outlineLevel="0" collapsed="false">
      <c r="A14" s="34" t="s">
        <v>50</v>
      </c>
      <c r="B14" s="34" t="s">
        <v>51</v>
      </c>
      <c r="C14" s="70" t="n">
        <v>-10.076</v>
      </c>
      <c r="D14" s="50" t="n">
        <v>-3.736</v>
      </c>
      <c r="E14" s="71" t="n">
        <v>-10.375</v>
      </c>
      <c r="F14" s="72" t="n">
        <v>-11.856</v>
      </c>
      <c r="G14" s="72" t="n">
        <v>-11.499</v>
      </c>
      <c r="H14" s="39" t="n">
        <v>30</v>
      </c>
      <c r="I14" s="40" t="n">
        <f aca="false">AVERAGE(E14:G14)</f>
        <v>-11.2433333333333</v>
      </c>
      <c r="J14" s="73" t="n">
        <f aca="false">C14-I14</f>
        <v>1.16733333333333</v>
      </c>
      <c r="K14" s="42" t="n">
        <f aca="false">C14/H14</f>
        <v>-0.335866666666667</v>
      </c>
      <c r="L14" s="42" t="n">
        <f aca="false">I14/H14</f>
        <v>-0.374777777777778</v>
      </c>
      <c r="M14" s="55" t="n">
        <f aca="false">K14-L14</f>
        <v>0.0389111111111111</v>
      </c>
      <c r="N14" s="44" t="s">
        <v>52</v>
      </c>
    </row>
    <row r="15" customFormat="false" ht="23.25" hidden="false" customHeight="true" outlineLevel="0" collapsed="false">
      <c r="A15" s="34" t="s">
        <v>53</v>
      </c>
      <c r="B15" s="34" t="s">
        <v>51</v>
      </c>
      <c r="C15" s="74" t="n">
        <v>-9.229</v>
      </c>
      <c r="D15" s="75" t="n">
        <v>-4.735</v>
      </c>
      <c r="E15" s="76" t="n">
        <v>-8.954</v>
      </c>
      <c r="F15" s="77" t="n">
        <v>-9.16</v>
      </c>
      <c r="G15" s="78" t="n">
        <v>-10.17</v>
      </c>
      <c r="H15" s="39" t="n">
        <v>26</v>
      </c>
      <c r="I15" s="40" t="n">
        <f aca="false">AVERAGE(E15:G15)</f>
        <v>-9.428</v>
      </c>
      <c r="J15" s="75" t="n">
        <f aca="false">C15-I15</f>
        <v>0.199</v>
      </c>
      <c r="K15" s="42" t="n">
        <f aca="false">C15/H15</f>
        <v>-0.354961538461538</v>
      </c>
      <c r="L15" s="42" t="n">
        <f aca="false">I15/H15</f>
        <v>-0.362615384615385</v>
      </c>
      <c r="M15" s="79" t="n">
        <f aca="false">K15-L15</f>
        <v>0.00765384615384612</v>
      </c>
      <c r="N15" s="44" t="s">
        <v>54</v>
      </c>
    </row>
    <row r="16" customFormat="false" ht="45.75" hidden="false" customHeight="true" outlineLevel="0" collapsed="false">
      <c r="A16" s="34" t="s">
        <v>55</v>
      </c>
      <c r="B16" s="34" t="s">
        <v>51</v>
      </c>
      <c r="C16" s="77" t="n">
        <v>-9.151</v>
      </c>
      <c r="D16" s="80" t="n">
        <v>5.066</v>
      </c>
      <c r="E16" s="81" t="n">
        <v>-9.115</v>
      </c>
      <c r="F16" s="70" t="n">
        <v>-10.045</v>
      </c>
      <c r="G16" s="82" t="n">
        <v>-7.782</v>
      </c>
      <c r="H16" s="39" t="n">
        <v>23</v>
      </c>
      <c r="I16" s="40" t="n">
        <f aca="false">AVERAGE(E16:G16)</f>
        <v>-8.98066666666667</v>
      </c>
      <c r="J16" s="83" t="n">
        <f aca="false">C16-I16</f>
        <v>-0.170333333333334</v>
      </c>
      <c r="K16" s="42" t="n">
        <f aca="false">C16/H16</f>
        <v>-0.397869565217391</v>
      </c>
      <c r="L16" s="42" t="n">
        <f aca="false">I16/H16</f>
        <v>-0.390463768115942</v>
      </c>
      <c r="M16" s="84" t="n">
        <f aca="false">K16-L16</f>
        <v>-0.00740579710144929</v>
      </c>
      <c r="N16" s="44" t="s">
        <v>56</v>
      </c>
    </row>
    <row r="17" customFormat="false" ht="23.25" hidden="false" customHeight="true" outlineLevel="0" collapsed="false">
      <c r="A17" s="34" t="s">
        <v>57</v>
      </c>
      <c r="B17" s="34" t="s">
        <v>51</v>
      </c>
      <c r="C17" s="77" t="n">
        <v>-9.147</v>
      </c>
      <c r="D17" s="18" t="n">
        <v>-0.09</v>
      </c>
      <c r="E17" s="85" t="n">
        <v>-8.796</v>
      </c>
      <c r="F17" s="86" t="n">
        <v>-10.744</v>
      </c>
      <c r="G17" s="87" t="n">
        <v>-7.698</v>
      </c>
      <c r="H17" s="39" t="n">
        <v>20</v>
      </c>
      <c r="I17" s="40" t="n">
        <f aca="false">AVERAGE(E17:G17)</f>
        <v>-9.07933333333333</v>
      </c>
      <c r="J17" s="88" t="n">
        <f aca="false">C17-I17</f>
        <v>-0.0676666666666677</v>
      </c>
      <c r="K17" s="42" t="n">
        <f aca="false">C17/H17</f>
        <v>-0.45735</v>
      </c>
      <c r="L17" s="42" t="n">
        <f aca="false">I17/H17</f>
        <v>-0.453966666666667</v>
      </c>
      <c r="M17" s="89" t="n">
        <f aca="false">K17-L17</f>
        <v>-0.00338333333333341</v>
      </c>
      <c r="N17" s="44" t="s">
        <v>58</v>
      </c>
    </row>
    <row r="18" customFormat="false" ht="15" hidden="false" customHeight="true" outlineLevel="0" collapsed="false">
      <c r="A18" s="34" t="s">
        <v>59</v>
      </c>
      <c r="B18" s="34" t="s">
        <v>51</v>
      </c>
      <c r="C18" s="90" t="n">
        <v>-8.515</v>
      </c>
      <c r="D18" s="41" t="n">
        <v>-4.544</v>
      </c>
      <c r="E18" s="91" t="n">
        <v>-9.697</v>
      </c>
      <c r="F18" s="70" t="n">
        <v>-10.056</v>
      </c>
      <c r="G18" s="91" t="n">
        <v>-9.675</v>
      </c>
      <c r="H18" s="39" t="n">
        <v>30</v>
      </c>
      <c r="I18" s="40" t="n">
        <f aca="false">AVERAGE(E18:G18)</f>
        <v>-9.80933333333333</v>
      </c>
      <c r="J18" s="80" t="n">
        <f aca="false">C18-I18</f>
        <v>1.29433333333333</v>
      </c>
      <c r="K18" s="42" t="n">
        <f aca="false">C18/H18</f>
        <v>-0.283833333333333</v>
      </c>
      <c r="L18" s="42" t="n">
        <f aca="false">I18/H18</f>
        <v>-0.326977777777778</v>
      </c>
      <c r="M18" s="92" t="n">
        <f aca="false">K18-L18</f>
        <v>0.0431444444444444</v>
      </c>
      <c r="N18" s="44"/>
    </row>
    <row r="19" customFormat="false" ht="23.25" hidden="false" customHeight="true" outlineLevel="0" collapsed="false">
      <c r="A19" s="34" t="s">
        <v>60</v>
      </c>
      <c r="B19" s="34" t="s">
        <v>51</v>
      </c>
      <c r="C19" s="93" t="n">
        <v>-8.216</v>
      </c>
      <c r="D19" s="94" t="n">
        <v>4.808</v>
      </c>
      <c r="E19" s="95" t="n">
        <v>-7.677</v>
      </c>
      <c r="F19" s="70" t="n">
        <v>-10.009</v>
      </c>
      <c r="G19" s="76" t="n">
        <v>-8.961</v>
      </c>
      <c r="H19" s="39" t="n">
        <v>27</v>
      </c>
      <c r="I19" s="40" t="n">
        <f aca="false">AVERAGE(E19:G19)</f>
        <v>-8.88233333333333</v>
      </c>
      <c r="J19" s="96" t="n">
        <f aca="false">C19-I19</f>
        <v>0.666333333333334</v>
      </c>
      <c r="K19" s="42" t="n">
        <f aca="false">C19/H19</f>
        <v>-0.304296296296296</v>
      </c>
      <c r="L19" s="42" t="n">
        <f aca="false">I19/H19</f>
        <v>-0.328975308641975</v>
      </c>
      <c r="M19" s="97" t="n">
        <f aca="false">K19-L19</f>
        <v>0.024679012345679</v>
      </c>
      <c r="N19" s="44" t="s">
        <v>61</v>
      </c>
    </row>
    <row r="20" customFormat="false" ht="23.25" hidden="false" customHeight="true" outlineLevel="0" collapsed="false">
      <c r="A20" s="34" t="s">
        <v>62</v>
      </c>
      <c r="B20" s="34" t="s">
        <v>51</v>
      </c>
      <c r="C20" s="95" t="n">
        <v>-7.55</v>
      </c>
      <c r="D20" s="98" t="n">
        <v>3.353</v>
      </c>
      <c r="E20" s="99" t="n">
        <v>-8.072</v>
      </c>
      <c r="F20" s="90" t="n">
        <v>-8.519</v>
      </c>
      <c r="G20" s="63" t="n">
        <v>-6.874</v>
      </c>
      <c r="H20" s="39" t="n">
        <v>22</v>
      </c>
      <c r="I20" s="40" t="n">
        <f aca="false">AVERAGE(E20:G20)</f>
        <v>-7.82166666666667</v>
      </c>
      <c r="J20" s="14" t="n">
        <f aca="false">C20-I20</f>
        <v>0.271666666666667</v>
      </c>
      <c r="K20" s="42" t="n">
        <f aca="false">C20/H20</f>
        <v>-0.343181818181818</v>
      </c>
      <c r="L20" s="42" t="n">
        <f aca="false">I20/H20</f>
        <v>-0.355530303030303</v>
      </c>
      <c r="M20" s="100" t="n">
        <f aca="false">K20-L20</f>
        <v>0.0123484848484848</v>
      </c>
      <c r="N20" s="44" t="s">
        <v>61</v>
      </c>
    </row>
    <row r="22" customFormat="false" ht="31.5" hidden="false" customHeight="true" outlineLevel="0" collapsed="false">
      <c r="A22" s="101" t="s">
        <v>63</v>
      </c>
      <c r="B22" s="101"/>
      <c r="C22" s="101"/>
      <c r="D22" s="101"/>
      <c r="E22" s="101"/>
      <c r="F22" s="101"/>
      <c r="G22" s="101"/>
      <c r="H22" s="101"/>
      <c r="I22" s="101"/>
      <c r="J22" s="101"/>
      <c r="K22" s="101"/>
      <c r="L22" s="101"/>
      <c r="M22" s="101"/>
      <c r="N22" s="101"/>
    </row>
    <row r="23" customFormat="false" ht="43.5" hidden="false" customHeight="true" outlineLevel="0" collapsed="false">
      <c r="A23" s="101" t="s">
        <v>64</v>
      </c>
      <c r="B23" s="101"/>
      <c r="C23" s="101"/>
      <c r="D23" s="101"/>
      <c r="E23" s="101"/>
      <c r="F23" s="101"/>
      <c r="G23" s="101"/>
      <c r="H23" s="101"/>
      <c r="I23" s="101"/>
      <c r="J23" s="101"/>
      <c r="K23" s="101"/>
      <c r="L23" s="101"/>
      <c r="M23" s="101"/>
      <c r="N23" s="101"/>
    </row>
  </sheetData>
  <mergeCells count="4">
    <mergeCell ref="A1:J1"/>
    <mergeCell ref="A2:J2"/>
    <mergeCell ref="A22:N22"/>
    <mergeCell ref="A23:N23"/>
  </mergeCells>
  <conditionalFormatting sqref="C5:G20">
    <cfRule type="colorScale" priority="2">
      <colorScale>
        <cfvo type="min" val="0"/>
        <cfvo type="percentile" val="50"/>
        <cfvo type="max" val="0"/>
        <color rgb="FF63BE7B"/>
        <color rgb="FFFFFFFF"/>
        <color rgb="FFF8696B"/>
      </colorScale>
    </cfRule>
  </conditionalFormatting>
  <conditionalFormatting sqref="J5:J20">
    <cfRule type="colorScale" priority="3">
      <colorScale>
        <cfvo type="min" val="0"/>
        <cfvo type="num" val="0"/>
        <cfvo type="max" val="0"/>
        <color rgb="FF4472C4"/>
        <color rgb="FFFFFFFF"/>
        <color rgb="FFF8696B"/>
      </colorScale>
    </cfRule>
  </conditionalFormatting>
  <conditionalFormatting sqref="M5:M20">
    <cfRule type="colorScale" priority="4">
      <colorScale>
        <cfvo type="min" val="0"/>
        <cfvo type="num" val="0"/>
        <cfvo type="max" val="0"/>
        <color rgb="FF4472C4"/>
        <color rgb="FFFFFFFF"/>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3" min="2" style="1" width="20"/>
  </cols>
  <sheetData>
    <row r="1" customFormat="false" ht="18" hidden="false" customHeight="true" outlineLevel="0" collapsed="false">
      <c r="A1" s="9" t="s">
        <v>65</v>
      </c>
      <c r="B1" s="9"/>
      <c r="C1" s="9"/>
      <c r="D1" s="9"/>
      <c r="E1" s="9"/>
      <c r="F1" s="9"/>
    </row>
    <row r="2" customFormat="false" ht="15" hidden="false" customHeight="true" outlineLevel="0" collapsed="false">
      <c r="A2" s="10" t="s">
        <v>66</v>
      </c>
      <c r="B2" s="10"/>
      <c r="C2" s="10"/>
      <c r="D2" s="10"/>
      <c r="E2" s="10"/>
      <c r="F2" s="10"/>
    </row>
    <row r="3" customFormat="false" ht="15" hidden="false" customHeight="true" outlineLevel="0" collapsed="false">
      <c r="A3" s="102" t="s">
        <v>20</v>
      </c>
      <c r="B3" s="102" t="s">
        <v>67</v>
      </c>
      <c r="C3" s="102" t="s">
        <v>32</v>
      </c>
    </row>
    <row r="4" customFormat="false" ht="15" hidden="false" customHeight="true" outlineLevel="0" collapsed="false">
      <c r="A4" s="103" t="str">
        <f aca="false">'Master Matrix'!A5</f>
        <v>Ralmitaront</v>
      </c>
      <c r="B4" s="104" t="n">
        <f aca="false">'Master Matrix'!J5</f>
        <v>0.727333333333334</v>
      </c>
      <c r="C4" s="105" t="n">
        <f aca="false">'Master Matrix'!M5</f>
        <v>0.0316231884057971</v>
      </c>
    </row>
    <row r="5" customFormat="false" ht="15" hidden="false" customHeight="true" outlineLevel="0" collapsed="false">
      <c r="A5" s="103" t="str">
        <f aca="false">'Master Matrix'!A6</f>
        <v>Ulotaront</v>
      </c>
      <c r="B5" s="104" t="n">
        <f aca="false">'Master Matrix'!J6</f>
        <v>0.584000000000001</v>
      </c>
      <c r="C5" s="105" t="n">
        <f aca="false">'Master Matrix'!M6</f>
        <v>0.0486666666666668</v>
      </c>
    </row>
    <row r="6" customFormat="false" ht="15" hidden="false" customHeight="true" outlineLevel="0" collapsed="false">
      <c r="A6" s="103" t="str">
        <f aca="false">'Master Matrix'!A7</f>
        <v>Methamphetamine</v>
      </c>
      <c r="B6" s="104" t="n">
        <f aca="false">'Master Matrix'!J7</f>
        <v>0.233666666666667</v>
      </c>
      <c r="C6" s="105" t="n">
        <f aca="false">'Master Matrix'!M7</f>
        <v>0.0212424242424243</v>
      </c>
    </row>
    <row r="7" customFormat="false" ht="15" hidden="false" customHeight="true" outlineLevel="0" collapsed="false">
      <c r="A7" s="103" t="str">
        <f aca="false">'Master Matrix'!A8</f>
        <v>Amphetamine</v>
      </c>
      <c r="B7" s="104" t="n">
        <f aca="false">'Master Matrix'!J8</f>
        <v>0.265333333333333</v>
      </c>
      <c r="C7" s="105" t="n">
        <f aca="false">'Master Matrix'!M8</f>
        <v>0.0265333333333334</v>
      </c>
    </row>
    <row r="8" customFormat="false" ht="15" hidden="false" customHeight="true" outlineLevel="0" collapsed="false">
      <c r="A8" s="103" t="str">
        <f aca="false">'Master Matrix'!A9</f>
        <v>Tyramine</v>
      </c>
      <c r="B8" s="104" t="n">
        <f aca="false">'Master Matrix'!J9</f>
        <v>0.306333333333334</v>
      </c>
      <c r="C8" s="105" t="n">
        <f aca="false">'Master Matrix'!M9</f>
        <v>0.0306333333333333</v>
      </c>
    </row>
    <row r="9" customFormat="false" ht="15" hidden="false" customHeight="true" outlineLevel="0" collapsed="false">
      <c r="A9" s="103" t="str">
        <f aca="false">'Master Matrix'!A10</f>
        <v>beta-Phenylethylamine</v>
      </c>
      <c r="B9" s="104" t="n">
        <f aca="false">'Master Matrix'!J10</f>
        <v>0.356666666666666</v>
      </c>
      <c r="C9" s="105" t="n">
        <f aca="false">'Master Matrix'!M10</f>
        <v>0.0396296296296297</v>
      </c>
    </row>
    <row r="10" customFormat="false" ht="15" hidden="false" customHeight="true" outlineLevel="0" collapsed="false">
      <c r="A10" s="103" t="str">
        <f aca="false">'Master Matrix'!A11</f>
        <v>Guanabenz</v>
      </c>
      <c r="B10" s="104" t="n">
        <f aca="false">'Master Matrix'!J11</f>
        <v>0.206</v>
      </c>
      <c r="C10" s="105" t="n">
        <f aca="false">'Master Matrix'!M11</f>
        <v>0.0147142857142857</v>
      </c>
    </row>
    <row r="11" customFormat="false" ht="15" hidden="false" customHeight="true" outlineLevel="0" collapsed="false">
      <c r="A11" s="103" t="str">
        <f aca="false">'Master Matrix'!A12</f>
        <v>Guanfacine</v>
      </c>
      <c r="B11" s="104" t="n">
        <f aca="false">'Master Matrix'!J12</f>
        <v>0.388666666666667</v>
      </c>
      <c r="C11" s="105" t="n">
        <f aca="false">'Master Matrix'!M12</f>
        <v>0.0259111111111112</v>
      </c>
    </row>
    <row r="12" customFormat="false" ht="15" hidden="false" customHeight="true" outlineLevel="0" collapsed="false">
      <c r="A12" s="103" t="str">
        <f aca="false">'Master Matrix'!A13</f>
        <v>Fenoldopam</v>
      </c>
      <c r="B12" s="104" t="n">
        <f aca="false">'Master Matrix'!J13</f>
        <v>0.521</v>
      </c>
      <c r="C12" s="105" t="n">
        <f aca="false">'Master Matrix'!M13</f>
        <v>0.0226521739130435</v>
      </c>
    </row>
    <row r="13" customFormat="false" ht="15" hidden="false" customHeight="true" outlineLevel="0" collapsed="false">
      <c r="A13" s="103" t="str">
        <f aca="false">'Master Matrix'!A14</f>
        <v>Risperidone</v>
      </c>
      <c r="B13" s="104" t="n">
        <f aca="false">'Master Matrix'!J14</f>
        <v>1.16733333333333</v>
      </c>
      <c r="C13" s="105" t="n">
        <f aca="false">'Master Matrix'!M14</f>
        <v>0.0389111111111111</v>
      </c>
    </row>
    <row r="14" customFormat="false" ht="15" hidden="false" customHeight="true" outlineLevel="0" collapsed="false">
      <c r="A14" s="103" t="str">
        <f aca="false">'Master Matrix'!A15</f>
        <v>Haloperidol</v>
      </c>
      <c r="B14" s="104" t="n">
        <f aca="false">'Master Matrix'!J15</f>
        <v>0.199</v>
      </c>
      <c r="C14" s="105" t="n">
        <f aca="false">'Master Matrix'!M15</f>
        <v>0.00765384615384612</v>
      </c>
    </row>
    <row r="15" customFormat="false" ht="15" hidden="false" customHeight="true" outlineLevel="0" collapsed="false">
      <c r="A15" s="103" t="str">
        <f aca="false">'Master Matrix'!A16</f>
        <v>Clozapine</v>
      </c>
      <c r="B15" s="104" t="n">
        <f aca="false">'Master Matrix'!J16</f>
        <v>-0.170333333333334</v>
      </c>
      <c r="C15" s="105" t="n">
        <f aca="false">'Master Matrix'!M16</f>
        <v>-0.00740579710144929</v>
      </c>
    </row>
    <row r="16" customFormat="false" ht="15" hidden="false" customHeight="true" outlineLevel="0" collapsed="false">
      <c r="A16" s="103" t="str">
        <f aca="false">'Master Matrix'!A17</f>
        <v>Asenapine</v>
      </c>
      <c r="B16" s="104" t="n">
        <f aca="false">'Master Matrix'!J17</f>
        <v>-0.0676666666666677</v>
      </c>
      <c r="C16" s="105" t="n">
        <f aca="false">'Master Matrix'!M17</f>
        <v>-0.00338333333333341</v>
      </c>
    </row>
    <row r="17" customFormat="false" ht="15" hidden="false" customHeight="true" outlineLevel="0" collapsed="false">
      <c r="A17" s="103" t="str">
        <f aca="false">'Master Matrix'!A18</f>
        <v>Aripiprazole</v>
      </c>
      <c r="B17" s="104" t="n">
        <f aca="false">'Master Matrix'!J18</f>
        <v>1.29433333333333</v>
      </c>
      <c r="C17" s="105" t="n">
        <f aca="false">'Master Matrix'!M18</f>
        <v>0.0431444444444444</v>
      </c>
    </row>
    <row r="18" customFormat="false" ht="15" hidden="false" customHeight="true" outlineLevel="0" collapsed="false">
      <c r="A18" s="103" t="str">
        <f aca="false">'Master Matrix'!A19</f>
        <v>Quetiapine</v>
      </c>
      <c r="B18" s="104" t="n">
        <f aca="false">'Master Matrix'!J19</f>
        <v>0.666333333333334</v>
      </c>
      <c r="C18" s="105" t="n">
        <f aca="false">'Master Matrix'!M19</f>
        <v>0.024679012345679</v>
      </c>
    </row>
    <row r="19" customFormat="false" ht="15" hidden="false" customHeight="true" outlineLevel="0" collapsed="false">
      <c r="A19" s="103" t="str">
        <f aca="false">'Master Matrix'!A20</f>
        <v>Olanzapine</v>
      </c>
      <c r="B19" s="104" t="n">
        <f aca="false">'Master Matrix'!J20</f>
        <v>0.271666666666667</v>
      </c>
      <c r="C19" s="105" t="n">
        <f aca="false">'Master Matrix'!M20</f>
        <v>0.0123484848484848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2026-09-27T02:10:41Z</dcterms:created>
  <dc:creator>openpyxl</dc:creator>
  <dc:description/>
  <dc:language>en-US</dc:language>
  <cp:lastModifiedBy/>
  <dcterms:modified xsi:type="dcterms:W3CDTF">2026-09-29T01:48:15Z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